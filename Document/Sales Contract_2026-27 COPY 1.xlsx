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adanio365csp-my.sharepoint.com/personal/40000089_adani_in/Documents/AGFZE - EPAM Scrap Metal Automation/Sales Docs To Share With EPAM/"/>
    </mc:Choice>
  </mc:AlternateContent>
  <xr:revisionPtr revIDLastSave="5055" documentId="8_{F68EE2DD-2F56-4515-B8F5-CE5A6260DC3B}" xr6:coauthVersionLast="47" xr6:coauthVersionMax="47" xr10:uidLastSave="{4D0B482C-4B33-466D-BC78-CE147B96E0D9}"/>
  <bookViews>
    <workbookView xWindow="-120" yWindow="-120" windowWidth="29040" windowHeight="15720" activeTab="5" xr2:uid="{4588216E-1FEB-43EE-9AD6-45610BB87F6A}"/>
  </bookViews>
  <sheets>
    <sheet name="Contract Data" sheetId="2" r:id="rId1"/>
    <sheet name="India - Fix" sheetId="1" state="hidden" r:id="rId2"/>
    <sheet name="INDIA (QP)" sheetId="9" r:id="rId3"/>
    <sheet name="INDIA (FIXED RATE)" sheetId="10" r:id="rId4"/>
    <sheet name="CHINA (QP)" sheetId="11" r:id="rId5"/>
    <sheet name="CHINA (FIXED RATE)" sheetId="12" r:id="rId6"/>
    <sheet name="PERFORMA INVOICE" sheetId="14" r:id="rId7"/>
    <sheet name="Sheet1" sheetId="4" state="hidden" r:id="rId8"/>
  </sheets>
  <externalReferences>
    <externalReference r:id="rId9"/>
  </externalReferences>
  <definedNames>
    <definedName name="_xlnm._FilterDatabase" localSheetId="0" hidden="1">'Contract Data'!$C$2:$AX$2</definedName>
    <definedName name="_Hlk174615379" localSheetId="0">'Contract Data'!#REF!</definedName>
    <definedName name="_Hlk89177313" localSheetId="1">'India - Fix'!$H$47</definedName>
    <definedName name="_xlnm.Print_Area" localSheetId="5">'CHINA (FIXED RATE)'!$D$2:$O$42,'CHINA (FIXED RATE)'!$D$45:$O$97</definedName>
    <definedName name="_xlnm.Print_Area" localSheetId="4">'CHINA (QP)'!$D$47:$O$98,'CHINA (QP)'!$D$2:$O$44</definedName>
    <definedName name="_xlnm.Print_Area" localSheetId="3">'INDIA (FIXED RATE)'!$D$2:$O$42,'INDIA (FIXED RATE)'!$D$45:$O$97</definedName>
    <definedName name="_xlnm.Print_Area" localSheetId="2">'INDIA (QP)'!$D$2:$O$44,'INDIA (QP)'!$D$47:$O$99</definedName>
    <definedName name="_xlnm.Print_Area" localSheetId="6">'PERFORMA INVOICE'!$D$4:$O$53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2" l="1"/>
  <c r="I5" i="2"/>
  <c r="I4" i="2"/>
  <c r="AN4" i="2" s="1"/>
  <c r="AO4" i="2" s="1"/>
  <c r="D12" i="9" l="1"/>
  <c r="D11" i="10" l="1"/>
  <c r="D14" i="14"/>
  <c r="D12" i="12"/>
  <c r="D12" i="10"/>
  <c r="H20" i="10"/>
  <c r="D12" i="11"/>
  <c r="E26" i="9" l="1"/>
  <c r="E26" i="12" l="1"/>
  <c r="E26" i="11" l="1"/>
  <c r="H20" i="9"/>
  <c r="AA1" i="2"/>
  <c r="F16" i="10" l="1"/>
  <c r="E26" i="10"/>
  <c r="H20" i="11"/>
  <c r="H20" i="12"/>
  <c r="D22" i="14" l="1"/>
  <c r="D13" i="14"/>
  <c r="D12" i="14"/>
  <c r="O10" i="14"/>
  <c r="G27" i="14" l="1"/>
  <c r="J22" i="14"/>
  <c r="O22" i="14" s="1"/>
  <c r="O25" i="14" s="1"/>
  <c r="D10" i="14" l="1"/>
  <c r="L38" i="14" s="1"/>
  <c r="I3" i="2"/>
  <c r="AN3" i="2" s="1"/>
  <c r="AO3" i="2" s="1"/>
  <c r="Y3" i="2"/>
  <c r="F16" i="9"/>
  <c r="E61" i="12"/>
  <c r="E24" i="12"/>
  <c r="H23" i="12"/>
  <c r="H21" i="12"/>
  <c r="H19" i="12"/>
  <c r="H18" i="12"/>
  <c r="F16" i="12"/>
  <c r="D11" i="12"/>
  <c r="D10" i="12"/>
  <c r="N70" i="12" s="1"/>
  <c r="O8" i="12"/>
  <c r="O51" i="12" s="1"/>
  <c r="D8" i="12"/>
  <c r="D51" i="12" s="1"/>
  <c r="F16" i="11"/>
  <c r="E63" i="11"/>
  <c r="E24" i="11"/>
  <c r="H23" i="11"/>
  <c r="H21" i="11"/>
  <c r="H19" i="11"/>
  <c r="H18" i="11"/>
  <c r="D11" i="11"/>
  <c r="D10" i="11"/>
  <c r="N72" i="11" s="1"/>
  <c r="O8" i="11"/>
  <c r="O53" i="11" s="1"/>
  <c r="D8" i="10"/>
  <c r="D51" i="10" s="1"/>
  <c r="E61" i="10"/>
  <c r="E24" i="10"/>
  <c r="H23" i="10"/>
  <c r="H21" i="10"/>
  <c r="H19" i="10"/>
  <c r="H18" i="10"/>
  <c r="D10" i="10"/>
  <c r="N70" i="10" s="1"/>
  <c r="O8" i="10"/>
  <c r="O51" i="10" s="1"/>
  <c r="H23" i="9"/>
  <c r="D11" i="9"/>
  <c r="AO1" i="2" l="1"/>
  <c r="AN1" i="2"/>
  <c r="H21" i="9"/>
  <c r="E63" i="9"/>
  <c r="D8" i="11" l="1"/>
  <c r="D53" i="11" l="1"/>
  <c r="H19" i="9"/>
  <c r="H18" i="9"/>
  <c r="E24" i="9" l="1"/>
  <c r="D10" i="9" l="1"/>
  <c r="N72" i="9" s="1"/>
  <c r="O8" i="9"/>
  <c r="O53" i="9" s="1"/>
  <c r="D8" i="9"/>
  <c r="D53" i="9" s="1"/>
  <c r="F12" i="1" l="1"/>
  <c r="F11" i="1"/>
  <c r="H58" i="1"/>
  <c r="F8" i="1"/>
  <c r="F57" i="1" s="1"/>
</calcChain>
</file>

<file path=xl/sharedStrings.xml><?xml version="1.0" encoding="utf-8"?>
<sst xmlns="http://schemas.openxmlformats.org/spreadsheetml/2006/main" count="571" uniqueCount="240">
  <si>
    <t>SALES CONTRACT</t>
  </si>
  <si>
    <t>TO</t>
  </si>
  <si>
    <t>WE CONFIRM HAVING SOLD TO YOU THE FOLLOWING:</t>
  </si>
  <si>
    <t>IN THE CASE OF FORCE MAJEURE AT ADANI GLOBAL FZE, DELIVERIES ARE ONLY PERMITTED WITH ADANI GLOBAL FZE EXPRESS AGREEMENT. A SUSPENSION OF PERFORMANCE SHALL NOT HAVE THE EFFECT OF CANCELLING THE CONTRACT, WHICH SHALL AGAIN COME INTO FULL FORCE AND EFFECT IMMEDIATELY UPON TERMINATION OF THE FORCE MAJEURE EVENT. THE CONTRACT SHALL, EACH TIME, BE EXTENDED FOR A PERIOD EQUAL TO THE PERIOD OF SUSPENSION.</t>
  </si>
  <si>
    <t>COMMODITY</t>
  </si>
  <si>
    <t>1.</t>
  </si>
  <si>
    <t>2.</t>
  </si>
  <si>
    <t>3.</t>
  </si>
  <si>
    <t>4.</t>
  </si>
  <si>
    <t>5.</t>
  </si>
  <si>
    <t>6.</t>
  </si>
  <si>
    <t>7.</t>
  </si>
  <si>
    <t xml:space="preserve">            اداني دجلوبال م م ح </t>
  </si>
  <si>
    <t xml:space="preserve">ذات مسئولية محدودة تأسست بموجب القانون رقم 9 لسنة 1992              </t>
  </si>
  <si>
    <t xml:space="preserve">            Formed pursuant to Law No.9 of 1992 With Limited Liability</t>
  </si>
  <si>
    <r>
      <rPr>
        <b/>
        <sz val="12"/>
        <color rgb="FF000000"/>
        <rFont val="Adani Regular"/>
      </rPr>
      <t xml:space="preserve">PAYAMENT CONDITIONS: 100% </t>
    </r>
    <r>
      <rPr>
        <b/>
        <sz val="12"/>
        <color theme="1"/>
        <rFont val="Adani Regular"/>
      </rPr>
      <t>CAD THROUGH BANK</t>
    </r>
    <r>
      <rPr>
        <sz val="12"/>
        <color theme="1"/>
        <rFont val="Adani Regular"/>
      </rPr>
      <t xml:space="preserve"> AGAINST FOLLOWING DOCUMENTS: </t>
    </r>
  </si>
  <si>
    <r>
      <t>1)</t>
    </r>
    <r>
      <rPr>
        <sz val="12"/>
        <color theme="1"/>
        <rFont val="Adani Regular"/>
      </rPr>
      <t xml:space="preserve"> </t>
    </r>
    <r>
      <rPr>
        <sz val="12"/>
        <color rgb="FF000000"/>
        <rFont val="Adani Regular"/>
      </rPr>
      <t xml:space="preserve">FULL SET (3/3) ORIGINAL BILL OF LADING B/L TO SHOW “FREIGHT PREPAID” </t>
    </r>
    <r>
      <rPr>
        <b/>
        <sz val="12"/>
        <color rgb="FF000000"/>
        <rFont val="Adani Regular"/>
      </rPr>
      <t>2)</t>
    </r>
    <r>
      <rPr>
        <sz val="12"/>
        <color rgb="FF000000"/>
        <rFont val="Adani Regular"/>
      </rPr>
      <t xml:space="preserve"> COMMERCIAL INVOICE </t>
    </r>
    <r>
      <rPr>
        <b/>
        <sz val="12"/>
        <color rgb="FF000000"/>
        <rFont val="Adani Regular"/>
      </rPr>
      <t>3)</t>
    </r>
    <r>
      <rPr>
        <sz val="12"/>
        <color rgb="FF000000"/>
        <rFont val="Adani Regular"/>
      </rPr>
      <t xml:space="preserve"> PACKING LIST </t>
    </r>
    <r>
      <rPr>
        <b/>
        <sz val="12"/>
        <color rgb="FF000000"/>
        <rFont val="Adani Regular"/>
      </rPr>
      <t>4)</t>
    </r>
    <r>
      <rPr>
        <sz val="12"/>
        <color rgb="FF000000"/>
        <rFont val="Adani Regular"/>
      </rPr>
      <t xml:space="preserve"> CERTIFICATE OF ORIGIN </t>
    </r>
    <r>
      <rPr>
        <b/>
        <sz val="12"/>
        <color rgb="FF000000"/>
        <rFont val="Adani Regular"/>
      </rPr>
      <t>5)</t>
    </r>
    <r>
      <rPr>
        <sz val="12"/>
        <color rgb="FF000000"/>
        <rFont val="Adani Regular"/>
      </rPr>
      <t xml:space="preserve"> INSURANCE CERTIFICATE </t>
    </r>
    <r>
      <rPr>
        <b/>
        <sz val="12"/>
        <color rgb="FF000000"/>
        <rFont val="Adani Regular"/>
      </rPr>
      <t>6)</t>
    </r>
    <r>
      <rPr>
        <sz val="12"/>
        <color rgb="FF000000"/>
        <rFont val="Adani Regular"/>
      </rPr>
      <t xml:space="preserve"> FREIGHT CERTIFICATE </t>
    </r>
    <r>
      <rPr>
        <b/>
        <sz val="12"/>
        <color rgb="FF000000"/>
        <rFont val="Adani Regular"/>
      </rPr>
      <t>7)</t>
    </r>
    <r>
      <rPr>
        <sz val="12"/>
        <color rgb="FF000000"/>
        <rFont val="Adani Regular"/>
      </rPr>
      <t xml:space="preserve"> FORM 6 &amp; FORM 9 </t>
    </r>
    <r>
      <rPr>
        <b/>
        <sz val="12"/>
        <color rgb="FF000000"/>
        <rFont val="Adani Regular"/>
      </rPr>
      <t>8)</t>
    </r>
    <r>
      <rPr>
        <sz val="12"/>
        <color rgb="FF000000"/>
        <rFont val="Adani Regular"/>
      </rPr>
      <t xml:space="preserve"> CHEMICAL ANALYSIS CERTIFICATE </t>
    </r>
    <r>
      <rPr>
        <b/>
        <sz val="12"/>
        <color rgb="FF000000"/>
        <rFont val="Adani Regular"/>
      </rPr>
      <t>9)</t>
    </r>
    <r>
      <rPr>
        <sz val="12"/>
        <color rgb="FF000000"/>
        <rFont val="Adani Regular"/>
      </rPr>
      <t xml:space="preserve"> PSIC CERTIFICATE </t>
    </r>
    <r>
      <rPr>
        <b/>
        <sz val="12"/>
        <color rgb="FF000000"/>
        <rFont val="Adani Regular"/>
      </rPr>
      <t>10)</t>
    </r>
    <r>
      <rPr>
        <sz val="12"/>
        <color rgb="FF000000"/>
        <rFont val="Adani Regular"/>
      </rPr>
      <t xml:space="preserve"> NO WAR CERTIFICATE.</t>
    </r>
  </si>
  <si>
    <r>
      <t>PRICE:</t>
    </r>
    <r>
      <rPr>
        <sz val="12"/>
        <color theme="1"/>
        <rFont val="Adani Regular"/>
      </rPr>
      <t xml:space="preserve"> </t>
    </r>
    <r>
      <rPr>
        <b/>
        <sz val="12"/>
        <color theme="1"/>
        <rFont val="Adani Regular"/>
      </rPr>
      <t>USD 2,835.00</t>
    </r>
    <r>
      <rPr>
        <sz val="12"/>
        <color theme="1"/>
        <rFont val="Adani Regular"/>
      </rPr>
      <t xml:space="preserve"> </t>
    </r>
    <r>
      <rPr>
        <b/>
        <sz val="12"/>
        <color rgb="FF000000"/>
        <rFont val="Adani Regular"/>
      </rPr>
      <t>CIF MUNDRA</t>
    </r>
    <r>
      <rPr>
        <b/>
        <sz val="12"/>
        <color theme="1"/>
        <rFont val="Adani Regular"/>
      </rPr>
      <t>, INDIA. ICD PATLI.</t>
    </r>
  </si>
  <si>
    <r>
      <t xml:space="preserve">SHIPMENT PERIOD: </t>
    </r>
    <r>
      <rPr>
        <sz val="12"/>
        <color rgb="FF000000"/>
        <rFont val="Adani Regular"/>
      </rPr>
      <t>LOADING WILL BE IN 45 AFTER SIGNED CONTRACT AND ADVANCE PAYMENT IN OUR ACCOUNT (IF APPLICABLE), SHIPMENT WILL BE ON 1ST AVAILABLE VESSEL (SUBJECT TO NO LOCKDOWN OR ANY UNFORESEEN CIRCUMSTANCES AT POL).</t>
    </r>
  </si>
  <si>
    <r>
      <t xml:space="preserve">INSURANCE: </t>
    </r>
    <r>
      <rPr>
        <sz val="12"/>
        <color rgb="FF000000"/>
        <rFont val="Adani Regular"/>
      </rPr>
      <t>THE SELLER SHALL COVER THE INSURANCE AT THEIR COST. THE INSURANCE CLAUSE SHOULD BE AS UNDER: “MARINE INSURANCE POLICY / CERTIFICATE FOR ATLEAST 10% OVER THE INVOICE VALUE, DATED NOT LATER THAN THE DATE OF BILL OF LADING COVERING INSTITUTE CARGO CLAUSE [A]” WITH COVERAGE FOR THE THEFT AND PILFERAGE.</t>
    </r>
  </si>
  <si>
    <r>
      <t xml:space="preserve">ARBITRATION AND GOVERNING LAW: </t>
    </r>
    <r>
      <rPr>
        <sz val="12"/>
        <color rgb="FF000000"/>
        <rFont val="Adani Regular"/>
      </rPr>
      <t>ANY DISPUTES ARISING OUT OF OR IN CONNECTION WITH THIS CONTRACT, INCLUDING ANY QUESTION REGARDING ITS EXECUTION, VALIDITY OR TERMINATION, WHICH THE PARTIES FAIL TO RESOLVE AMICABLY, SHALL BE REFERRED TO AND FINALLY RESOLVED BY ARBITRATION UNDER THE UK RULES ON THIS SUBJECT.</t>
    </r>
  </si>
  <si>
    <r>
      <t xml:space="preserve">FORCE MAJEURE: </t>
    </r>
    <r>
      <rPr>
        <sz val="12"/>
        <color rgb="FF000000"/>
        <rFont val="Adani Regular"/>
      </rPr>
      <t>SUCH AS FIRE, FLOOD, BREAKDOWN, ACCIDENT, WAR, INSURRECTION, RIOT, GOVERNMENTAL ACTION, LABOR DISPUTE, SHORTAGE OF FUEL, ELECTRICITY, RAW MATERIALS OR SUPPLIES, LACK OF FREIGHT FACILITIES, CAUSED BY ANY ACT OF GOD OR ANY OTHER CAUSE BEYOND THE REASONABLE CONTROL OF THE SELLER OR ADANI GLOBAL FZE, THE ARRANGEMENTS AND OBLIGATIONS OF THE CONTRACT ARE SUSPENDED COMPLETELY OR PARTIALLY, DEPENDING ON THE EXTENT OF THE HINDRANCE, FOR THE DURATION OF THE FORCE MAJEURE FROM THE MOMENT IN WHICH THE AFFECTED PARTY INFORMS THE OTHER ABOUT THE EXISTENCE OF FORCE MAJEURE IN WRITING, INCLUDING THE REASON FOR IT.</t>
    </r>
    <r>
      <rPr>
        <b/>
        <sz val="12"/>
        <color rgb="FF000000"/>
        <rFont val="Adani Regular"/>
      </rPr>
      <t xml:space="preserve"> </t>
    </r>
  </si>
  <si>
    <t xml:space="preserve">IF A CASE OF FORCE MAJEURE LASTS LONGER THAN THREE MONTHS FROM THE TIME IT IS ANNOUNCED, EACH SELLER HAS THE RIGHT TO RESCIND THE CONTRACT WITH RESPECT TO THE VOLUMES THAT WERE NOT DELIVERED AND/OR ACCEPTED DUE TO THE FORCE MAJEURE.  </t>
  </si>
  <si>
    <t>NOTWITHSTANDING THE FOREGOING PROVISIONS SHOULD THE PRICE OF THE METALS, WHICH DELIVERY WAS SUSPENDED DUE TO AN EVENT OF FORCE MAJEURE, HAVE ALREADY BEEN FIXED, THEN SUCH PRICE IS APPLIED TO THE MATERIAL TO BE FIRST DELIVERED AFTER THE DELIVERY THEREOF IS RESUMED</t>
  </si>
  <si>
    <t>8.</t>
  </si>
  <si>
    <t>IF THERE IS A VARIATION IN THE QUALITY AND QUANTITY AT DISCHARGE PORT, A THIRD PARTY MUTUALLY AGREED INSPECTION AGENCY WILL BE APPOINTED AND THEIR RESULT WILL BE TAKEN AS A FINAL AND LOOSING PARTY WILL PAY THE CHARGES AND SETTLE THE CLAIM TO BUYER / SELLER.</t>
  </si>
  <si>
    <t>9.</t>
  </si>
  <si>
    <t>ALL KIND OF TAXES / DUTIES/LEVIES ETC. IN IMPORTING COUNTRY TO BE BORNE BY THE BUYER.</t>
  </si>
  <si>
    <t>10.</t>
  </si>
  <si>
    <t>WEIGHT SHORTAGE WILL NOT BE ACCEPTED LESS THAN 0.5%, MORE THAN 0.5% WILL BE CLAIMED.</t>
  </si>
  <si>
    <t>ALL BANK CHARGES OUTSIDE UAE INCLUDING CORRESPONDENCE BANK CHARGES WILL BE IN BUYER'S ACCOUNT, ACTUAL AMOUNT RECEIVED THROUGH ADVANCE / DEPOSIT WILL BE CONSIDERED AND ADJUSTED IN THE INVOICE ACCORDINGLY.</t>
  </si>
  <si>
    <t>US SANCTIONS COMPLIANCE: EACH PARTY REPRESENTS AND WARRANTS THAT IT IS NOT A SANCTIONED PERSON AND SHALL COMPLY WITH ALL APPLICABLE U.S. SANCTIONS LAWS AND REGULATIONS. NEITHER PARTY SHALL ENGAGE IN ANY TRANSACTION UNDER THIS CONTRACT THAT WOULD CAUSE EITHER PARTY TO VIOLATE U.S. SANCTIONS, INCLUDING DEALINGS WITH SANCTIONED ENTITIES OR RESTRICTED JURISDICTIONS. IF COMPLIANCE BECOMES UNLAWFUL, THE AFFECTED PARTY MAY SUSPEND OR TERMINATE PERFORMANCE WITHOUT LIABILITY.</t>
  </si>
  <si>
    <t>THE SELLER</t>
  </si>
  <si>
    <t>FOR ADANI GLOBAL FZE.</t>
  </si>
  <si>
    <t>AUTHORIZED SIGNATORY</t>
  </si>
  <si>
    <r>
      <t xml:space="preserve">FOR </t>
    </r>
    <r>
      <rPr>
        <b/>
        <sz val="12"/>
        <color theme="1"/>
        <rFont val="Adani Regular"/>
      </rPr>
      <t>SHREE BALAJI ALUMNICAST PVT LTD</t>
    </r>
  </si>
  <si>
    <t>THE BUYER</t>
  </si>
  <si>
    <t>BROKER</t>
  </si>
  <si>
    <t>SF</t>
  </si>
  <si>
    <t>POL</t>
  </si>
  <si>
    <t>FT</t>
  </si>
  <si>
    <t>NIZMET</t>
  </si>
  <si>
    <t>CIF</t>
  </si>
  <si>
    <t>Date</t>
  </si>
  <si>
    <t>Sn</t>
  </si>
  <si>
    <t>Basic Comm</t>
  </si>
  <si>
    <t>Buyer Name</t>
  </si>
  <si>
    <t>Contract No</t>
  </si>
  <si>
    <t>Add 1</t>
  </si>
  <si>
    <t>IEC No</t>
  </si>
  <si>
    <t>Pan No</t>
  </si>
  <si>
    <t>GST No</t>
  </si>
  <si>
    <t>Contact No</t>
  </si>
  <si>
    <t>Email ID</t>
  </si>
  <si>
    <t>Commodity</t>
  </si>
  <si>
    <t>HS Code</t>
  </si>
  <si>
    <t>Origin</t>
  </si>
  <si>
    <t>Final Place of Delievry</t>
  </si>
  <si>
    <t>Inco Term</t>
  </si>
  <si>
    <t>Qty</t>
  </si>
  <si>
    <t>Toll</t>
  </si>
  <si>
    <t>Packing</t>
  </si>
  <si>
    <t>No of Cont</t>
  </si>
  <si>
    <t>Pay Condition</t>
  </si>
  <si>
    <t>Documents</t>
  </si>
  <si>
    <t>Contact No ======&gt;</t>
  </si>
  <si>
    <t>Adani Global FZE                                         Tel: +971 4 3611900</t>
  </si>
  <si>
    <t>Post Box 17186,                                            Fax: +971 4 3689600</t>
  </si>
  <si>
    <t>Jebel Ali,                                                        Email: commercial.dxb@adani.in</t>
  </si>
  <si>
    <t>Dubai, UAE                                                    www.adani.com</t>
  </si>
  <si>
    <t>ALUMINIUM SCRAP TROMA AS PER ISRI (HS CODE 76020010)</t>
  </si>
  <si>
    <t>THE CONSIGNMENT DOES NOT CONTAIN ANY TYPE OF ARMS, AMMUNITIONS, MINES, SHELLS, CARTRIDGES, RADIOACTIVE CONTAMINATED OR ANY OTHER EXPLOSIVE MATERIAL IN ANY FORM EITHER USED OR OTHERWISE.</t>
  </si>
  <si>
    <t>ORIGIN :</t>
  </si>
  <si>
    <t>LOAD PORT</t>
  </si>
  <si>
    <t>1.2.</t>
  </si>
  <si>
    <t>NOTWITHSTANDING THE FOREGOING PROVISIONS SHOULD THE PRICE OF THE METALS, WHICH DELIVERY WAS SUSPENDED DUE TO AN EVENT OF FORCE MAJEURE, HAVE ALREADY BEEN FIXED, THEN SUCH PRICE IS APPLIED TO THE MATERIAL TO BE FIRST DELIVERED AFTER THE DELIVERY THEREOF IS RESUMED.</t>
  </si>
  <si>
    <t>1.3.</t>
  </si>
  <si>
    <t>1.4.</t>
  </si>
  <si>
    <t>1.5.</t>
  </si>
  <si>
    <t>1.6.</t>
  </si>
  <si>
    <t>QUANTITY &amp; PACKING:</t>
  </si>
  <si>
    <t>POD</t>
  </si>
  <si>
    <t>LME%</t>
  </si>
  <si>
    <t>1.1.</t>
  </si>
  <si>
    <t>QUANTITY &amp; PACKING :</t>
  </si>
  <si>
    <t>Dubai, UAE</t>
  </si>
  <si>
    <t>Tel: +971 4 3611900</t>
  </si>
  <si>
    <t>Price Base</t>
  </si>
  <si>
    <t xml:space="preserve">PLACE OF DELIVERY    : </t>
  </si>
  <si>
    <t>11.</t>
  </si>
  <si>
    <t>12.</t>
  </si>
  <si>
    <t>13.</t>
  </si>
  <si>
    <t xml:space="preserve">THE SELLER </t>
  </si>
  <si>
    <t xml:space="preserve">AUTHORIZED SIGNATORY                                                    </t>
  </si>
  <si>
    <t>THE BUYER    </t>
  </si>
  <si>
    <t xml:space="preserve">AUTHORIZED SIGNATORY </t>
  </si>
  <si>
    <t>Adani Global FZE</t>
  </si>
  <si>
    <t>Post Box 17186,</t>
  </si>
  <si>
    <t>Fax: +971 4 3689600</t>
  </si>
  <si>
    <t xml:space="preserve">Jebel Ali, </t>
  </si>
  <si>
    <t>Email: commercial.dxb@adani.in</t>
  </si>
  <si>
    <t>www.adani.com</t>
  </si>
  <si>
    <t>+/-10%</t>
  </si>
  <si>
    <t>CU</t>
  </si>
  <si>
    <r>
      <t>Q/P:</t>
    </r>
    <r>
      <rPr>
        <sz val="12"/>
        <color rgb="FF000000"/>
        <rFont val="Adani Regular"/>
      </rPr>
      <t xml:space="preserve"> ANY UNKNOWN LME WORKING DAY, FROM BUSINESS CONFIRMATION DATE TILL ETA.</t>
    </r>
  </si>
  <si>
    <r>
      <t xml:space="preserve">SHIPMENT PERIOD: </t>
    </r>
    <r>
      <rPr>
        <sz val="12"/>
        <color rgb="FF000000"/>
        <rFont val="Adani Regular"/>
      </rPr>
      <t>LOADING WILL BE WITHIN 45 DAYS FROM THE DATE OF RECEIPT OF SIGNED CONTRACT AND ADVANCE PAYMENT IN OUR ACCOUNT (IF APPLICABLE), SHIPMENT WILL BE ON 1ST AVAILABLE VESSEL (SUBJECT TO NO LOCKDOWN OR ANY UNFORESEEN CIRCUMSTANCES AT POL).</t>
    </r>
  </si>
  <si>
    <r>
      <t>ARBITRATION AND GOVERNING LAW:</t>
    </r>
    <r>
      <rPr>
        <sz val="12"/>
        <color rgb="FF000000"/>
        <rFont val="Adani Regular"/>
      </rPr>
      <t xml:space="preserve"> ANY DISPUTES ARISING OUT OF OR IN CONNECTION WITH THIS CONTRACT, INCLUDING ANY QUESTION REGARDING ITS EXECUTION, VALIDITY OR TERMINATION, WHICH THE PARTIES FAIL TO RESOLVE AMICABLY, SHALL BE REFERRED TO AND FINALLY RESOLVED BY ARBITRATION UNDER THE SIAC (SINGAPORE INTERNATIONAL ARBITRATION CENTRE) OR DIFC (DUBAI INTERNATIONAL FINANCIAL CENTRE) OR LCIA (THE LONDON COURT OF INTERNATIONAL ARBITRATION) ON THIS SUBJECT.</t>
    </r>
  </si>
  <si>
    <t>Fix Price</t>
  </si>
  <si>
    <t>Shortage</t>
  </si>
  <si>
    <t>LOOSE / JUMBO BAGS  /  BRIQUETTED</t>
  </si>
  <si>
    <t>PAYMENT CONDITIONS     :</t>
  </si>
  <si>
    <t>Customer Address</t>
  </si>
  <si>
    <t>Country</t>
  </si>
  <si>
    <t>0.50%</t>
  </si>
  <si>
    <t>09.</t>
  </si>
  <si>
    <t>THE CONSIGNMENT DOES NOT CONTAIN ANY TYPE OF ARMS, AMMUNITIONS, MINES, SHELLS, HAZARDOUS WASTE, CARTRIDGES, RADIOACTIVE CONTAMINATED OR ANY OTHER EXPLOSIVE OR PROHIBITED MATERIAL IN ANY FORM, WHETHER USED OR UNUSED, AND IS SAFE FOR TRANSPORT AND HANDLING.</t>
  </si>
  <si>
    <t>CHINA</t>
  </si>
  <si>
    <t>NINGBO</t>
  </si>
  <si>
    <t>1) FULL SET (3/3) ORIGINAL BILL OF LADING B/L TO SHOW "FREIGHT PREPAID" 2) COMMERCIAL INVOICE 3) PACKING LIST 4) CERTIFICATE OF ORIGIN 5) INSURANCE CERTIFICATE.</t>
  </si>
  <si>
    <t>Consignee Code</t>
  </si>
  <si>
    <t>Charges</t>
  </si>
  <si>
    <t>ORIGIN                        :</t>
  </si>
  <si>
    <t>LOAD PORT                 :</t>
  </si>
  <si>
    <t xml:space="preserve">PLACE OF DELIVERY  : </t>
  </si>
  <si>
    <t>RECYCLING MATERIAL FOR COPPER</t>
  </si>
  <si>
    <t>ISRAEL</t>
  </si>
  <si>
    <t>2</t>
  </si>
  <si>
    <t xml:space="preserve">3 MONTHS CU LME IN US$ </t>
  </si>
  <si>
    <t>001</t>
  </si>
  <si>
    <t>NINGBO SINO-HK METAL CO., LTD</t>
  </si>
  <si>
    <t>NS</t>
  </si>
  <si>
    <t>ROOM 308, BLOCK A, TIAN YI BUSINESS CENTER</t>
  </si>
  <si>
    <t>TEL:0086-574-87275231, FAX:0086-574-87275382</t>
  </si>
  <si>
    <t>USCI CODE: 91330212753280182E, CONTACT PERSON: CAROL</t>
  </si>
  <si>
    <t>EMAIL: NINGBOCAROL@126.COM</t>
  </si>
  <si>
    <t>100% BY TT BEFORE ARRIVAL OF THE VESSEL AT POD</t>
  </si>
  <si>
    <t>NO.19 HUALOU XIANG, NB, CHINA</t>
  </si>
  <si>
    <t>PERFORMA INVOICE</t>
  </si>
  <si>
    <t>ITEM DESCRIPTION</t>
  </si>
  <si>
    <t>QTY</t>
  </si>
  <si>
    <t>PRICE (USD)</t>
  </si>
  <si>
    <t>AMOUNT USD</t>
  </si>
  <si>
    <t>ADVANCE 10%</t>
  </si>
  <si>
    <t>PAYMENT TERAM</t>
  </si>
  <si>
    <t xml:space="preserve">BANK DETAILS USD: </t>
  </si>
  <si>
    <t>BENEFICIARY NAME</t>
  </si>
  <si>
    <t>IBAN NO</t>
  </si>
  <si>
    <t>BENEFICIARY BANK</t>
  </si>
  <si>
    <t>BENEFICIARY BANK SWIFT CODE</t>
  </si>
  <si>
    <t>CORRESPONDENT BANK NAME</t>
  </si>
  <si>
    <t>ACCOUNT NUMBER</t>
  </si>
  <si>
    <t>SWIFT CODE</t>
  </si>
  <si>
    <t>:</t>
  </si>
  <si>
    <t>ADANI GLOBAL FZE</t>
  </si>
  <si>
    <t>02-01-02-020430-333-0181868</t>
  </si>
  <si>
    <t>AE13 0290 2204 3033 3181 868</t>
  </si>
  <si>
    <t xml:space="preserve">HABIB BANK AG ZURICH, MAIN BRANCH, KHALID BIN WALEED STREET, DUBAI, U.A.E </t>
  </si>
  <si>
    <t>HBZUAEADXXX</t>
  </si>
  <si>
    <t xml:space="preserve">HABIB AMERICAN BANK, USA </t>
  </si>
  <si>
    <t>HANYUS33XXX</t>
  </si>
  <si>
    <t xml:space="preserve">ALL TERMS AND CONDITIONS AS PER THE CONTRACT NO. </t>
  </si>
  <si>
    <t>HABIB</t>
  </si>
  <si>
    <t>ZAND</t>
  </si>
  <si>
    <t>AE09 0960 0000 1101 0000 002</t>
  </si>
  <si>
    <t>ZAND BANK PJSC, EMAAR SQUAR, DUBAI, U.A.E.</t>
  </si>
  <si>
    <t>ZANDAEAA</t>
  </si>
  <si>
    <t>THE BANK OF NEW YORK MELLON</t>
  </si>
  <si>
    <t>IRVTUS3NXXX</t>
  </si>
  <si>
    <t>CBD</t>
  </si>
  <si>
    <t>CBDUAEAD</t>
  </si>
  <si>
    <t>CHASUS33XXX</t>
  </si>
  <si>
    <t>J.P. MORGAN CHASE</t>
  </si>
  <si>
    <t>COMMERCIAL BANK OF DUBAI, DUBAI, U.A.E.</t>
  </si>
  <si>
    <t>AE84 0230 0000 0100 4578 405</t>
  </si>
  <si>
    <t>Loading Qty</t>
  </si>
  <si>
    <t>Balance Qty</t>
  </si>
  <si>
    <t>Broker</t>
  </si>
  <si>
    <t>Brokerage pmt</t>
  </si>
  <si>
    <t xml:space="preserve">PLACE OF DELIVERY   : </t>
  </si>
  <si>
    <t>LOAD PORT                  :</t>
  </si>
  <si>
    <t>ORIGIN                         :</t>
  </si>
  <si>
    <t>Bank Name</t>
  </si>
  <si>
    <t>Courier</t>
  </si>
  <si>
    <t>Address</t>
  </si>
  <si>
    <t>Swift</t>
  </si>
  <si>
    <t>Contact</t>
  </si>
  <si>
    <t>Contact person</t>
  </si>
  <si>
    <t>Account No</t>
  </si>
  <si>
    <t>Bank Details</t>
  </si>
  <si>
    <t>LOAD PORT                   :</t>
  </si>
  <si>
    <t>ORIGIN                          :</t>
  </si>
  <si>
    <t xml:space="preserve">PLACE OF DELIVERY : </t>
  </si>
  <si>
    <t>LOAD PORT                :</t>
  </si>
  <si>
    <t>ORIGIN                       :</t>
  </si>
  <si>
    <t>AL</t>
  </si>
  <si>
    <t>PO</t>
  </si>
  <si>
    <t>PARAS OVERSEAS</t>
  </si>
  <si>
    <t xml:space="preserve">1008, 10TH FLOOR, SUKHSAGAR COMPLEX, </t>
  </si>
  <si>
    <t>FORTUNE LANDMARK HOTEL, USMANPURA-380013, AHMEDABAD, INDIA</t>
  </si>
  <si>
    <t>INDIA</t>
  </si>
  <si>
    <t>IEC: 0814022944</t>
  </si>
  <si>
    <t>PAN: AAQFP6007J</t>
  </si>
  <si>
    <t>GST: 24AAQFP6007J1Z1</t>
  </si>
  <si>
    <t>TEL: +91-9978050608</t>
  </si>
  <si>
    <t>EMAIL: JAINAM@PARASGROUPS.IN</t>
  </si>
  <si>
    <t>ALUMINIUM SCRAP TALLY AS PER ISRI</t>
  </si>
  <si>
    <t>HS CODE: 76020010</t>
  </si>
  <si>
    <t>DAMMAM VIA JEDDAH, SAUDI ARABIA</t>
  </si>
  <si>
    <t>SAUDI ARABIA</t>
  </si>
  <si>
    <t>MUNDRA</t>
  </si>
  <si>
    <t>ICD AHMEDABAD</t>
  </si>
  <si>
    <t>(INLAND HAULAGE CHARGES ON BUYER’S ACCOUNT)</t>
  </si>
  <si>
    <t xml:space="preserve"> BRIQUETTED</t>
  </si>
  <si>
    <r>
      <t xml:space="preserve">100% </t>
    </r>
    <r>
      <rPr>
        <sz val="10"/>
        <color theme="1"/>
        <rFont val="Adani Regular"/>
      </rPr>
      <t>CAD THROUGH BANK</t>
    </r>
  </si>
  <si>
    <t>1) FULL SET (3/3) ORIGINAL BILL OF LADING B/L TO SHOW “FREIGHT PREPAID” 2) COMMERCIAL INVOICE 3) PACKING LIST 4) CERTIFICATE OF ORIGIN 5) INSURANCE CERTIFICATE 6) FREIGHT CERTIFICATE 7) FORM 6 &amp; FORM 9 8) CHEMICAL ANALYSIS CERTIFICATE 9) PSIC CERTIFICATE 10) NO WAR CERTIFICATE.</t>
  </si>
  <si>
    <t>NICRO</t>
  </si>
  <si>
    <t>DIRECT TO BANK</t>
  </si>
  <si>
    <t>STATE BANK OF INDIA</t>
  </si>
  <si>
    <t>1008, 10TH FLOOR ,SUKHSAGAR COMPLEX, NEAR FORTUNE LANDMARK HOTEL,USMANPURA-380013, AHMEDABAD, GUJARAT. INDIA</t>
  </si>
  <si>
    <t>SWIGT: SBININBB651</t>
  </si>
  <si>
    <t>TEL: +9176000 38681</t>
  </si>
  <si>
    <t>BHAVNA SHAMMI</t>
  </si>
  <si>
    <t>A/C NO: 41794675633</t>
  </si>
  <si>
    <t>002</t>
  </si>
  <si>
    <t>003</t>
  </si>
  <si>
    <t>NC</t>
  </si>
  <si>
    <t>NINGBO CIMEI IMPORT &amp; EXPORT CO., LTD</t>
  </si>
  <si>
    <t>18F, Block A, Ningxing International Trade Building, 510 Heyuan Road,</t>
  </si>
  <si>
    <t>Yinzhou District, Ningbo, 315040, P.R.C</t>
  </si>
  <si>
    <t>91330201698240267G</t>
  </si>
  <si>
    <t>Tel: 0086-574-87780225</t>
  </si>
  <si>
    <t>amy.jiang@futureie.com</t>
  </si>
  <si>
    <t>Copper Ingots</t>
  </si>
  <si>
    <t>PAK</t>
  </si>
  <si>
    <t>LOSSE</t>
  </si>
  <si>
    <t>004</t>
  </si>
  <si>
    <t>COPPER INGOTS 99%</t>
  </si>
  <si>
    <t>HS CODE:74040012</t>
  </si>
  <si>
    <t>PAKISTAN</t>
  </si>
  <si>
    <t>NINGBO,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</si>
</sst>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quot;$&quot;* #,##0.00_);_(&quot;$&quot;* \(#,##0.00\);_(&quot;$&quot;* &quot;-&quot;??_);_(@_)"/>
    <numFmt numFmtId="165" formatCode="_(* #,##0.00_);_(* \(#,##0.00\);_(* &quot;-&quot;??_);_(@_)"/>
    <numFmt numFmtId="166" formatCode="_ * #,##0.00_ ;_ * \-#,##0.00_ ;_ * &quot;-&quot;??_ ;_ @_ "/>
    <numFmt numFmtId="167" formatCode="###,000"/>
    <numFmt numFmtId="168" formatCode="[$-409]d/mmm/yy;@"/>
    <numFmt numFmtId="169" formatCode="[$-409]d\-mmm\-yy;@"/>
    <numFmt numFmtId="170" formatCode="0.000%"/>
  </numFmts>
  <fonts count="77">
    <font>
      <sz val="11"/>
      <color theme="1"/>
      <name val="Aptos Narrow"/>
      <family val="2"/>
      <scheme val="minor"/>
    </font>
    <font>
      <sz val="11"/>
      <color theme="1"/>
      <name val="Aptos Narrow"/>
      <family val="2"/>
      <scheme val="minor"/>
    </font>
    <font>
      <b/>
      <sz val="9"/>
      <color rgb="FF000000"/>
      <name val="Adani Regular"/>
    </font>
    <font>
      <u/>
      <sz val="11"/>
      <color theme="10"/>
      <name val="Aptos Narrow"/>
      <family val="2"/>
      <scheme val="minor"/>
    </font>
    <font>
      <sz val="9"/>
      <color rgb="FF000000"/>
      <name val="Adani Regular"/>
    </font>
    <font>
      <sz val="8"/>
      <color rgb="FF808080"/>
      <name val="Arial"/>
      <family val="2"/>
    </font>
    <font>
      <sz val="12"/>
      <color rgb="FF000000"/>
      <name val="Adani Regular"/>
    </font>
    <font>
      <sz val="12"/>
      <color theme="1"/>
      <name val="Adani Regular"/>
    </font>
    <font>
      <sz val="12"/>
      <color theme="1"/>
      <name val="Aptos Narrow"/>
      <family val="2"/>
      <scheme val="minor"/>
    </font>
    <font>
      <b/>
      <sz val="12"/>
      <color theme="1"/>
      <name val="Adani Regular"/>
    </font>
    <font>
      <sz val="10"/>
      <name val="Arial"/>
      <family val="2"/>
    </font>
    <font>
      <sz val="8"/>
      <color rgb="FF4A442A"/>
      <name val="Aptos Narrow"/>
      <family val="2"/>
      <scheme val="minor"/>
    </font>
    <font>
      <sz val="11"/>
      <name val="Aptos Narrow"/>
      <family val="2"/>
      <scheme val="minor"/>
    </font>
    <font>
      <b/>
      <sz val="8"/>
      <color theme="1"/>
      <name val="Arial"/>
      <family val="2"/>
    </font>
    <font>
      <b/>
      <sz val="8"/>
      <color theme="1"/>
      <name val="Aptos Narrow"/>
      <family val="2"/>
      <scheme val="minor"/>
    </font>
    <font>
      <sz val="8"/>
      <name val="Arial"/>
      <family val="2"/>
    </font>
    <font>
      <sz val="11"/>
      <color indexed="8"/>
      <name val="Calibri"/>
      <family val="2"/>
    </font>
    <font>
      <sz val="8"/>
      <color indexed="8"/>
      <name val="Arial"/>
      <family val="2"/>
    </font>
    <font>
      <b/>
      <sz val="18"/>
      <color indexed="56"/>
      <name val="Cambria"/>
      <family val="2"/>
    </font>
    <font>
      <sz val="10"/>
      <color indexed="8"/>
      <name val="Arial"/>
      <family val="2"/>
    </font>
    <font>
      <b/>
      <sz val="10"/>
      <color indexed="8"/>
      <name val="Arial"/>
      <family val="2"/>
    </font>
    <font>
      <sz val="10"/>
      <color indexed="9"/>
      <name val="Arial"/>
      <family val="2"/>
    </font>
    <font>
      <sz val="10"/>
      <color indexed="20"/>
      <name val="Arial"/>
      <family val="2"/>
    </font>
    <font>
      <b/>
      <sz val="10"/>
      <color indexed="52"/>
      <name val="Arial"/>
      <family val="2"/>
    </font>
    <font>
      <b/>
      <sz val="10"/>
      <color indexed="9"/>
      <name val="Arial"/>
      <family val="2"/>
    </font>
    <font>
      <i/>
      <sz val="10"/>
      <color indexed="23"/>
      <name val="Arial"/>
      <family val="2"/>
    </font>
    <font>
      <sz val="10"/>
      <color indexed="17"/>
      <name val="Arial"/>
      <family val="2"/>
    </font>
    <font>
      <b/>
      <sz val="15"/>
      <color indexed="56"/>
      <name val="Arial"/>
      <family val="2"/>
    </font>
    <font>
      <b/>
      <sz val="13"/>
      <color indexed="56"/>
      <name val="Arial"/>
      <family val="2"/>
    </font>
    <font>
      <b/>
      <sz val="11"/>
      <color indexed="56"/>
      <name val="Arial"/>
      <family val="2"/>
    </font>
    <font>
      <sz val="10"/>
      <color indexed="62"/>
      <name val="Arial"/>
      <family val="2"/>
    </font>
    <font>
      <sz val="10"/>
      <color indexed="52"/>
      <name val="Arial"/>
      <family val="2"/>
    </font>
    <font>
      <sz val="10"/>
      <color indexed="60"/>
      <name val="Arial"/>
      <family val="2"/>
    </font>
    <font>
      <b/>
      <sz val="10"/>
      <color indexed="63"/>
      <name val="Arial"/>
      <family val="2"/>
    </font>
    <font>
      <sz val="10"/>
      <color indexed="10"/>
      <name val="Arial"/>
      <family val="2"/>
    </font>
    <font>
      <sz val="10"/>
      <color theme="1"/>
      <name val="Adani Regular"/>
      <family val="2"/>
    </font>
    <font>
      <u/>
      <sz val="11"/>
      <color theme="10"/>
      <name val="Calibri"/>
      <family val="2"/>
    </font>
    <font>
      <u/>
      <sz val="11"/>
      <color theme="10"/>
      <name val="Adani Regular"/>
    </font>
    <font>
      <sz val="8"/>
      <color rgb="FF000000"/>
      <name val="Arial"/>
      <family val="2"/>
    </font>
    <font>
      <sz val="8"/>
      <color rgb="FF1F497D"/>
      <name val="Verdana"/>
      <family val="2"/>
    </font>
    <font>
      <b/>
      <sz val="8"/>
      <color rgb="FF1F497D"/>
      <name val="Verdana"/>
      <family val="2"/>
    </font>
    <font>
      <sz val="8"/>
      <color rgb="FF000000"/>
      <name val="Verdana"/>
      <family val="2"/>
    </font>
    <font>
      <i/>
      <sz val="8"/>
      <color rgb="FF000000"/>
      <name val="Verdana"/>
      <family val="2"/>
    </font>
    <font>
      <i/>
      <sz val="8"/>
      <color rgb="FF1F497D"/>
      <name val="Verdana"/>
      <family val="2"/>
    </font>
    <font>
      <b/>
      <i/>
      <sz val="8"/>
      <color rgb="FF1F497D"/>
      <name val="Verdana"/>
      <family val="2"/>
    </font>
    <font>
      <b/>
      <i/>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u/>
      <sz val="10"/>
      <color indexed="12"/>
      <name val="Arial"/>
      <family val="2"/>
    </font>
    <font>
      <sz val="10"/>
      <name val="Aptos Narrow"/>
      <family val="1"/>
      <scheme val="minor"/>
    </font>
    <font>
      <sz val="11"/>
      <color theme="1"/>
      <name val="Agency FB"/>
      <family val="2"/>
    </font>
    <font>
      <sz val="11"/>
      <color rgb="FF3F3F76"/>
      <name val="Agency FB"/>
      <family val="2"/>
    </font>
    <font>
      <b/>
      <sz val="11"/>
      <color rgb="FFFA7D00"/>
      <name val="Agency FB"/>
      <family val="2"/>
    </font>
    <font>
      <b/>
      <u/>
      <sz val="12"/>
      <color rgb="FF000000"/>
      <name val="Adani Regular"/>
    </font>
    <font>
      <b/>
      <sz val="11"/>
      <color rgb="FF000000"/>
      <name val="Adani Regular"/>
    </font>
    <font>
      <b/>
      <sz val="12"/>
      <color rgb="FF000000"/>
      <name val="Adani Regular"/>
    </font>
    <font>
      <sz val="11"/>
      <color theme="1"/>
      <name val="Adani Regular "/>
    </font>
    <font>
      <sz val="11"/>
      <color rgb="FF000000"/>
      <name val="Adani Regular "/>
    </font>
    <font>
      <b/>
      <sz val="11"/>
      <color rgb="FF333399"/>
      <name val="Adani Regular "/>
    </font>
    <font>
      <b/>
      <sz val="11"/>
      <color theme="1"/>
      <name val="Adani Regular "/>
    </font>
    <font>
      <sz val="11"/>
      <color rgb="FF4A442A"/>
      <name val="Adani Regular "/>
    </font>
    <font>
      <b/>
      <sz val="11"/>
      <color theme="1"/>
      <name val="Aptos Narrow"/>
      <family val="2"/>
      <scheme val="minor"/>
    </font>
    <font>
      <sz val="10"/>
      <color rgb="FF000000"/>
      <name val="Adani Regular"/>
    </font>
    <font>
      <b/>
      <sz val="10"/>
      <color rgb="FF000000"/>
      <name val="Adani Regular"/>
    </font>
    <font>
      <sz val="11"/>
      <color theme="1"/>
      <name val="Adani Regular"/>
    </font>
    <font>
      <b/>
      <sz val="11"/>
      <color theme="1"/>
      <name val="Adani Regular"/>
    </font>
    <font>
      <sz val="10"/>
      <color theme="1"/>
      <name val="Adani Regular"/>
    </font>
    <font>
      <b/>
      <sz val="12"/>
      <color rgb="FF333399"/>
      <name val="Adani Regular"/>
    </font>
    <font>
      <sz val="12"/>
      <color rgb="FF4A442A"/>
      <name val="Adani Regular"/>
    </font>
    <font>
      <sz val="12"/>
      <color rgb="FF808080"/>
      <name val="Adani Regular"/>
    </font>
    <font>
      <b/>
      <u/>
      <sz val="14"/>
      <color theme="1"/>
      <name val="Adani Regular"/>
    </font>
    <font>
      <sz val="9"/>
      <color rgb="FF000000"/>
      <name val="Arial"/>
      <family val="2"/>
    </font>
    <font>
      <sz val="8"/>
      <name val="Aptos Narrow"/>
      <family val="2"/>
      <scheme val="minor"/>
    </font>
    <font>
      <b/>
      <sz val="16"/>
      <color theme="1"/>
      <name val="Aptos Narrow"/>
      <family val="2"/>
      <scheme val="minor"/>
    </font>
    <font>
      <b/>
      <sz val="12"/>
      <color theme="1"/>
      <name val="Aptos Narrow"/>
      <family val="2"/>
      <scheme val="minor"/>
    </font>
  </fonts>
  <fills count="48">
    <fill>
      <patternFill patternType="none"/>
    </fill>
    <fill>
      <patternFill patternType="gray125"/>
    </fill>
    <fill>
      <patternFill patternType="solid">
        <fgColor rgb="FFFFCC99"/>
      </patternFill>
    </fill>
    <fill>
      <patternFill patternType="solid">
        <fgColor rgb="FFF2F2F2"/>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22"/>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rgb="FFDBE5F1"/>
        <bgColor rgb="FF000000"/>
      </patternFill>
    </fill>
    <fill>
      <patternFill patternType="solid">
        <fgColor rgb="FFFFFFFF"/>
        <bgColor rgb="FF000000"/>
      </patternFill>
    </fill>
    <fill>
      <patternFill patternType="solid">
        <fgColor rgb="FFE9EFF7"/>
        <bgColor rgb="FF000000"/>
      </patternFill>
    </fill>
    <fill>
      <patternFill patternType="solid">
        <fgColor rgb="FFF1F5FB"/>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DBE5F1"/>
        <bgColor rgb="FFFFFFFF"/>
      </patternFill>
    </fill>
    <fill>
      <patternFill patternType="solid">
        <fgColor theme="6" tint="0.79998168889431442"/>
        <bgColor theme="6" tint="0.79998168889431442"/>
      </patternFill>
    </fill>
    <fill>
      <patternFill patternType="solid">
        <fgColor theme="9" tint="0.79998168889431442"/>
        <bgColor indexed="64"/>
      </patternFill>
    </fill>
    <fill>
      <patternFill patternType="solid">
        <fgColor rgb="FFFFFFFF"/>
        <bgColor indexed="64"/>
      </patternFill>
    </fill>
    <fill>
      <patternFill patternType="solid">
        <fgColor rgb="FFFFFF00"/>
        <bgColor indexed="64"/>
      </patternFill>
    </fill>
    <fill>
      <patternFill patternType="solid">
        <fgColor theme="6" tint="0.79998168889431442"/>
        <bgColor indexed="64"/>
      </patternFill>
    </fill>
    <fill>
      <patternFill patternType="solid">
        <fgColor theme="7" tint="0.79998168889431442"/>
        <bgColor indexed="64"/>
      </patternFill>
    </fill>
  </fills>
  <borders count="27">
    <border>
      <left/>
      <right/>
      <top/>
      <bottom/>
      <diagonal/>
    </border>
    <border>
      <left style="thin">
        <color rgb="FF7F7F7F"/>
      </left>
      <right style="thin">
        <color rgb="FF7F7F7F"/>
      </right>
      <top style="thin">
        <color rgb="FF7F7F7F"/>
      </top>
      <bottom style="thin">
        <color rgb="FF7F7F7F"/>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4"/>
      </left>
      <right style="thin">
        <color indexed="44"/>
      </right>
      <top style="thin">
        <color indexed="44"/>
      </top>
      <bottom style="thin">
        <color indexed="44"/>
      </bottom>
      <diagonal/>
    </border>
    <border>
      <left style="thin">
        <color indexed="8"/>
      </left>
      <right style="thin">
        <color indexed="8"/>
      </right>
      <top style="thin">
        <color indexed="8"/>
      </top>
      <bottom style="thin">
        <color indexed="8"/>
      </bottom>
      <diagonal/>
    </border>
    <border>
      <left style="hair">
        <color indexed="22"/>
      </left>
      <right style="hair">
        <color indexed="22"/>
      </right>
      <top style="thin">
        <color indexed="23"/>
      </top>
      <bottom style="thin">
        <color indexed="23"/>
      </bottom>
      <diagonal/>
    </border>
    <border>
      <left/>
      <right/>
      <top style="thin">
        <color indexed="62"/>
      </top>
      <bottom style="double">
        <color indexed="62"/>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hair">
        <color rgb="FFC0C0C0"/>
      </left>
      <right style="hair">
        <color rgb="FFC0C0C0"/>
      </right>
      <top style="thin">
        <color rgb="FF808080"/>
      </top>
      <bottom style="thin">
        <color rgb="FF808080"/>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auto="1"/>
      </left>
      <right/>
      <top/>
      <bottom style="thin">
        <color auto="1"/>
      </bottom>
      <diagonal/>
    </border>
    <border>
      <left style="thin">
        <color indexed="64"/>
      </left>
      <right style="thin">
        <color indexed="64"/>
      </right>
      <top style="thin">
        <color indexed="64"/>
      </top>
      <bottom/>
      <diagonal/>
    </border>
  </borders>
  <cellStyleXfs count="154">
    <xf numFmtId="0" fontId="0" fillId="0" borderId="0"/>
    <xf numFmtId="0" fontId="3" fillId="0" borderId="0" applyNumberFormat="0" applyFill="0" applyBorder="0" applyAlignment="0" applyProtection="0"/>
    <xf numFmtId="0" fontId="10" fillId="0" borderId="0"/>
    <xf numFmtId="0" fontId="10" fillId="0" borderId="0"/>
    <xf numFmtId="166" fontId="16" fillId="0" borderId="0" applyFont="0" applyFill="0" applyBorder="0" applyAlignment="0" applyProtection="0"/>
    <xf numFmtId="0" fontId="10" fillId="0" borderId="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7"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21" fillId="14" borderId="0" applyNumberFormat="0" applyBorder="0" applyAlignment="0" applyProtection="0"/>
    <xf numFmtId="0" fontId="21" fillId="11" borderId="0" applyNumberFormat="0" applyBorder="0" applyAlignment="0" applyProtection="0"/>
    <xf numFmtId="0" fontId="21" fillId="12" borderId="0" applyNumberFormat="0" applyBorder="0" applyAlignment="0" applyProtection="0"/>
    <xf numFmtId="0" fontId="21" fillId="15"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20" borderId="0" applyNumberFormat="0" applyBorder="0" applyAlignment="0" applyProtection="0"/>
    <xf numFmtId="0" fontId="21" fillId="15" borderId="0" applyNumberFormat="0" applyBorder="0" applyAlignment="0" applyProtection="0"/>
    <xf numFmtId="0" fontId="21" fillId="16" borderId="0" applyNumberFormat="0" applyBorder="0" applyAlignment="0" applyProtection="0"/>
    <xf numFmtId="0" fontId="21" fillId="21" borderId="0" applyNumberFormat="0" applyBorder="0" applyAlignment="0" applyProtection="0"/>
    <xf numFmtId="0" fontId="22" fillId="5" borderId="0" applyNumberFormat="0" applyBorder="0" applyAlignment="0" applyProtection="0"/>
    <xf numFmtId="0" fontId="23" fillId="9" borderId="2" applyNumberFormat="0" applyAlignment="0" applyProtection="0"/>
    <xf numFmtId="0" fontId="24" fillId="22" borderId="3" applyNumberFormat="0" applyAlignment="0" applyProtection="0"/>
    <xf numFmtId="165" fontId="1" fillId="0" borderId="0" applyFont="0" applyFill="0" applyBorder="0" applyAlignment="0" applyProtection="0"/>
    <xf numFmtId="165" fontId="15" fillId="0" borderId="0" applyFont="0" applyFill="0" applyBorder="0" applyAlignment="0" applyProtection="0"/>
    <xf numFmtId="165" fontId="1" fillId="0" borderId="0" applyFont="0" applyFill="0" applyBorder="0" applyAlignment="0" applyProtection="0"/>
    <xf numFmtId="165" fontId="15" fillId="0" borderId="0" applyFont="0" applyFill="0" applyBorder="0" applyAlignment="0" applyProtection="0"/>
    <xf numFmtId="165" fontId="35" fillId="0" borderId="0" applyFont="0" applyFill="0" applyBorder="0" applyAlignment="0" applyProtection="0"/>
    <xf numFmtId="164" fontId="15" fillId="0" borderId="0" applyFont="0" applyFill="0" applyBorder="0" applyAlignment="0" applyProtection="0"/>
    <xf numFmtId="0" fontId="25" fillId="0" borderId="0" applyNumberFormat="0" applyFill="0" applyBorder="0" applyAlignment="0" applyProtection="0"/>
    <xf numFmtId="0" fontId="26" fillId="6" borderId="0" applyNumberFormat="0" applyBorder="0" applyAlignment="0" applyProtection="0"/>
    <xf numFmtId="0" fontId="27" fillId="0" borderId="4" applyNumberFormat="0" applyFill="0" applyAlignment="0" applyProtection="0"/>
    <xf numFmtId="0" fontId="28" fillId="0" borderId="5" applyNumberFormat="0" applyFill="0" applyAlignment="0" applyProtection="0"/>
    <xf numFmtId="0" fontId="29" fillId="0" borderId="6" applyNumberFormat="0" applyFill="0" applyAlignment="0" applyProtection="0"/>
    <xf numFmtId="0" fontId="29" fillId="0" borderId="0" applyNumberFormat="0" applyFill="0" applyBorder="0" applyAlignment="0" applyProtection="0"/>
    <xf numFmtId="0" fontId="36" fillId="0" borderId="0" applyNumberFormat="0" applyFill="0" applyBorder="0" applyAlignment="0" applyProtection="0">
      <alignment vertical="top"/>
      <protection locked="0"/>
    </xf>
    <xf numFmtId="0" fontId="37" fillId="0" borderId="0" applyNumberFormat="0" applyFill="0" applyBorder="0" applyAlignment="0" applyProtection="0"/>
    <xf numFmtId="0" fontId="30" fillId="9" borderId="2" applyNumberFormat="0" applyAlignment="0" applyProtection="0"/>
    <xf numFmtId="0" fontId="31" fillId="0" borderId="7" applyNumberFormat="0" applyFill="0" applyAlignment="0" applyProtection="0"/>
    <xf numFmtId="0" fontId="32" fillId="23" borderId="0" applyNumberFormat="0" applyBorder="0" applyAlignment="0" applyProtection="0"/>
    <xf numFmtId="0" fontId="1" fillId="0" borderId="0"/>
    <xf numFmtId="169" fontId="15" fillId="0" borderId="0"/>
    <xf numFmtId="169" fontId="10" fillId="0" borderId="0"/>
    <xf numFmtId="169" fontId="10" fillId="0" borderId="0"/>
    <xf numFmtId="169" fontId="15" fillId="0" borderId="0"/>
    <xf numFmtId="0" fontId="10" fillId="0" borderId="0"/>
    <xf numFmtId="169" fontId="1" fillId="0" borderId="0"/>
    <xf numFmtId="169" fontId="1" fillId="0" borderId="0"/>
    <xf numFmtId="168" fontId="1" fillId="0" borderId="0"/>
    <xf numFmtId="169" fontId="1" fillId="0" borderId="0"/>
    <xf numFmtId="168" fontId="10" fillId="0" borderId="0"/>
    <xf numFmtId="0" fontId="10" fillId="0" borderId="0"/>
    <xf numFmtId="169" fontId="1" fillId="0" borderId="0"/>
    <xf numFmtId="169" fontId="1" fillId="0" borderId="0"/>
    <xf numFmtId="0" fontId="10" fillId="0" borderId="0"/>
    <xf numFmtId="169" fontId="1" fillId="0" borderId="0"/>
    <xf numFmtId="0" fontId="35" fillId="0" borderId="0"/>
    <xf numFmtId="0" fontId="10" fillId="24" borderId="8" applyNumberFormat="0" applyFont="0" applyAlignment="0" applyProtection="0"/>
    <xf numFmtId="0" fontId="33" fillId="9" borderId="9" applyNumberFormat="0" applyAlignment="0" applyProtection="0"/>
    <xf numFmtId="9" fontId="15" fillId="0" borderId="0" applyFont="0" applyFill="0" applyBorder="0" applyAlignment="0" applyProtection="0"/>
    <xf numFmtId="9" fontId="1" fillId="0" borderId="0" applyFont="0" applyFill="0" applyBorder="0" applyAlignment="0" applyProtection="0"/>
    <xf numFmtId="0" fontId="17" fillId="0" borderId="14" applyNumberFormat="0" applyFont="0" applyFill="0" applyAlignment="0" applyProtection="0"/>
    <xf numFmtId="169" fontId="38" fillId="0" borderId="14" applyNumberFormat="0" applyFont="0" applyFill="0" applyAlignment="0" applyProtection="0"/>
    <xf numFmtId="0" fontId="38" fillId="0" borderId="14" applyNumberFormat="0" applyFont="0" applyFill="0" applyAlignment="0" applyProtection="0"/>
    <xf numFmtId="167" fontId="39" fillId="0" borderId="15" applyNumberFormat="0" applyProtection="0">
      <alignment horizontal="right" vertical="center"/>
    </xf>
    <xf numFmtId="167" fontId="40" fillId="0" borderId="16" applyNumberFormat="0" applyProtection="0">
      <alignment horizontal="right" vertical="center"/>
    </xf>
    <xf numFmtId="0" fontId="40" fillId="25" borderId="14" applyNumberFormat="0" applyAlignment="0" applyProtection="0">
      <alignment horizontal="left" vertical="center" indent="1"/>
    </xf>
    <xf numFmtId="169" fontId="40" fillId="25" borderId="14" applyNumberFormat="0" applyAlignment="0" applyProtection="0">
      <alignment horizontal="left" vertical="center" indent="1"/>
    </xf>
    <xf numFmtId="0" fontId="41" fillId="26" borderId="16" applyNumberFormat="0" applyAlignment="0" applyProtection="0">
      <alignment horizontal="left" vertical="center" indent="1"/>
    </xf>
    <xf numFmtId="169" fontId="41" fillId="26" borderId="16" applyNumberFormat="0" applyAlignment="0" applyProtection="0">
      <alignment horizontal="left" vertical="center" indent="1"/>
    </xf>
    <xf numFmtId="0" fontId="41" fillId="26" borderId="16" applyNumberFormat="0" applyAlignment="0" applyProtection="0">
      <alignment horizontal="left" vertical="center" indent="1"/>
    </xf>
    <xf numFmtId="169" fontId="41" fillId="26" borderId="16" applyNumberFormat="0" applyAlignment="0" applyProtection="0">
      <alignment horizontal="left" vertical="center" indent="1"/>
    </xf>
    <xf numFmtId="0" fontId="42" fillId="0" borderId="11" applyNumberFormat="0" applyFill="0" applyBorder="0" applyAlignment="0" applyProtection="0"/>
    <xf numFmtId="169" fontId="42" fillId="0" borderId="17" applyNumberFormat="0" applyFill="0" applyBorder="0" applyAlignment="0" applyProtection="0"/>
    <xf numFmtId="0" fontId="42" fillId="0" borderId="17" applyNumberFormat="0" applyFill="0" applyBorder="0" applyAlignment="0" applyProtection="0"/>
    <xf numFmtId="0" fontId="42" fillId="26" borderId="16" applyNumberFormat="0" applyAlignment="0" applyProtection="0">
      <alignment horizontal="left" vertical="center" indent="1"/>
    </xf>
    <xf numFmtId="169" fontId="42" fillId="26" borderId="16" applyNumberFormat="0" applyAlignment="0" applyProtection="0">
      <alignment horizontal="left" vertical="center" indent="1"/>
    </xf>
    <xf numFmtId="0" fontId="42" fillId="26" borderId="16" applyNumberFormat="0" applyAlignment="0" applyProtection="0">
      <alignment horizontal="left" vertical="center" indent="1"/>
    </xf>
    <xf numFmtId="169" fontId="42" fillId="26" borderId="16" applyNumberFormat="0" applyAlignment="0" applyProtection="0">
      <alignment horizontal="left" vertical="center" indent="1"/>
    </xf>
    <xf numFmtId="167" fontId="43" fillId="27" borderId="10" applyNumberFormat="0" applyBorder="0" applyProtection="0">
      <alignment horizontal="right" vertical="center"/>
    </xf>
    <xf numFmtId="167" fontId="43" fillId="27" borderId="15" applyNumberFormat="0" applyBorder="0" applyProtection="0">
      <alignment horizontal="right" vertical="center"/>
    </xf>
    <xf numFmtId="167" fontId="44" fillId="27" borderId="2" applyNumberFormat="0" applyBorder="0" applyProtection="0">
      <alignment horizontal="right" vertical="center"/>
    </xf>
    <xf numFmtId="167" fontId="44" fillId="27" borderId="16" applyNumberFormat="0" applyBorder="0" applyProtection="0">
      <alignment horizontal="right" vertical="center"/>
    </xf>
    <xf numFmtId="0" fontId="42" fillId="28" borderId="16" applyNumberFormat="0" applyAlignment="0" applyProtection="0">
      <alignment horizontal="left" vertical="center" indent="1"/>
    </xf>
    <xf numFmtId="169" fontId="42" fillId="28" borderId="16" applyNumberFormat="0" applyAlignment="0" applyProtection="0">
      <alignment horizontal="left" vertical="center" indent="1"/>
    </xf>
    <xf numFmtId="167" fontId="44" fillId="28" borderId="16" applyNumberFormat="0" applyProtection="0">
      <alignment horizontal="right" vertical="center"/>
    </xf>
    <xf numFmtId="0" fontId="45" fillId="0" borderId="11" applyNumberFormat="0" applyBorder="0" applyAlignment="0" applyProtection="0"/>
    <xf numFmtId="169" fontId="45" fillId="0" borderId="17" applyNumberFormat="0" applyBorder="0" applyAlignment="0" applyProtection="0"/>
    <xf numFmtId="0" fontId="45" fillId="0" borderId="17" applyNumberFormat="0" applyBorder="0" applyAlignment="0" applyProtection="0"/>
    <xf numFmtId="167" fontId="46" fillId="29" borderId="12" applyNumberFormat="0" applyBorder="0" applyAlignment="0" applyProtection="0">
      <alignment horizontal="right" vertical="center" indent="1"/>
    </xf>
    <xf numFmtId="167" fontId="46" fillId="29" borderId="18" applyNumberFormat="0" applyBorder="0" applyAlignment="0" applyProtection="0">
      <alignment horizontal="right" vertical="center" indent="1"/>
    </xf>
    <xf numFmtId="167" fontId="47" fillId="30" borderId="12" applyNumberFormat="0" applyBorder="0" applyAlignment="0" applyProtection="0">
      <alignment horizontal="right" vertical="center" indent="1"/>
    </xf>
    <xf numFmtId="167" fontId="47" fillId="30" borderId="18" applyNumberFormat="0" applyBorder="0" applyAlignment="0" applyProtection="0">
      <alignment horizontal="right" vertical="center" indent="1"/>
    </xf>
    <xf numFmtId="167" fontId="47" fillId="31" borderId="12" applyNumberFormat="0" applyBorder="0" applyAlignment="0" applyProtection="0">
      <alignment horizontal="right" vertical="center" indent="1"/>
    </xf>
    <xf numFmtId="167" fontId="47" fillId="31" borderId="18" applyNumberFormat="0" applyBorder="0" applyAlignment="0" applyProtection="0">
      <alignment horizontal="right" vertical="center" indent="1"/>
    </xf>
    <xf numFmtId="167" fontId="48" fillId="32" borderId="12" applyNumberFormat="0" applyBorder="0" applyAlignment="0" applyProtection="0">
      <alignment horizontal="right" vertical="center" indent="1"/>
    </xf>
    <xf numFmtId="167" fontId="48" fillId="32" borderId="18" applyNumberFormat="0" applyBorder="0" applyAlignment="0" applyProtection="0">
      <alignment horizontal="right" vertical="center" indent="1"/>
    </xf>
    <xf numFmtId="167" fontId="48" fillId="33" borderId="12" applyNumberFormat="0" applyBorder="0" applyAlignment="0" applyProtection="0">
      <alignment horizontal="right" vertical="center" indent="1"/>
    </xf>
    <xf numFmtId="167" fontId="48" fillId="33" borderId="18" applyNumberFormat="0" applyBorder="0" applyAlignment="0" applyProtection="0">
      <alignment horizontal="right" vertical="center" indent="1"/>
    </xf>
    <xf numFmtId="167" fontId="48" fillId="34" borderId="12" applyNumberFormat="0" applyBorder="0" applyAlignment="0" applyProtection="0">
      <alignment horizontal="right" vertical="center" indent="1"/>
    </xf>
    <xf numFmtId="167" fontId="48" fillId="34" borderId="18" applyNumberFormat="0" applyBorder="0" applyAlignment="0" applyProtection="0">
      <alignment horizontal="right" vertical="center" indent="1"/>
    </xf>
    <xf numFmtId="167" fontId="49" fillId="35" borderId="12" applyNumberFormat="0" applyBorder="0" applyAlignment="0" applyProtection="0">
      <alignment horizontal="right" vertical="center" indent="1"/>
    </xf>
    <xf numFmtId="167" fontId="49" fillId="35" borderId="18" applyNumberFormat="0" applyBorder="0" applyAlignment="0" applyProtection="0">
      <alignment horizontal="right" vertical="center" indent="1"/>
    </xf>
    <xf numFmtId="167" fontId="49" fillId="36" borderId="12" applyNumberFormat="0" applyBorder="0" applyAlignment="0" applyProtection="0">
      <alignment horizontal="right" vertical="center" indent="1"/>
    </xf>
    <xf numFmtId="167" fontId="49" fillId="36" borderId="18" applyNumberFormat="0" applyBorder="0" applyAlignment="0" applyProtection="0">
      <alignment horizontal="right" vertical="center" indent="1"/>
    </xf>
    <xf numFmtId="167" fontId="49" fillId="37" borderId="12" applyNumberFormat="0" applyBorder="0" applyAlignment="0" applyProtection="0">
      <alignment horizontal="right" vertical="center" indent="1"/>
    </xf>
    <xf numFmtId="167" fontId="49" fillId="37" borderId="18" applyNumberFormat="0" applyBorder="0" applyAlignment="0" applyProtection="0">
      <alignment horizontal="right" vertical="center" indent="1"/>
    </xf>
    <xf numFmtId="0" fontId="41" fillId="38" borderId="14" applyNumberFormat="0" applyAlignment="0" applyProtection="0">
      <alignment horizontal="left" vertical="center" indent="1"/>
    </xf>
    <xf numFmtId="169" fontId="41" fillId="38" borderId="14" applyNumberFormat="0" applyAlignment="0" applyProtection="0">
      <alignment horizontal="left" vertical="center" indent="1"/>
    </xf>
    <xf numFmtId="0" fontId="41" fillId="39" borderId="14" applyNumberFormat="0" applyAlignment="0" applyProtection="0">
      <alignment horizontal="left" vertical="center" indent="1"/>
    </xf>
    <xf numFmtId="169" fontId="41" fillId="39" borderId="14" applyNumberFormat="0" applyAlignment="0" applyProtection="0">
      <alignment horizontal="left" vertical="center" indent="1"/>
    </xf>
    <xf numFmtId="0" fontId="41" fillId="40" borderId="14" applyNumberFormat="0" applyAlignment="0" applyProtection="0">
      <alignment horizontal="left" vertical="center" indent="1"/>
    </xf>
    <xf numFmtId="169" fontId="41" fillId="40" borderId="14" applyNumberFormat="0" applyAlignment="0" applyProtection="0">
      <alignment horizontal="left" vertical="center" indent="1"/>
    </xf>
    <xf numFmtId="0" fontId="41" fillId="27" borderId="14" applyNumberFormat="0" applyAlignment="0" applyProtection="0">
      <alignment horizontal="left" vertical="center" indent="1"/>
    </xf>
    <xf numFmtId="169" fontId="41" fillId="27" borderId="14" applyNumberFormat="0" applyAlignment="0" applyProtection="0">
      <alignment horizontal="left" vertical="center" indent="1"/>
    </xf>
    <xf numFmtId="0" fontId="41" fillId="28" borderId="16" applyNumberFormat="0" applyAlignment="0" applyProtection="0">
      <alignment horizontal="left" vertical="center" indent="1"/>
    </xf>
    <xf numFmtId="169" fontId="41" fillId="28" borderId="16" applyNumberFormat="0" applyAlignment="0" applyProtection="0">
      <alignment horizontal="left" vertical="center" indent="1"/>
    </xf>
    <xf numFmtId="167" fontId="39" fillId="27" borderId="10" applyNumberFormat="0" applyBorder="0" applyProtection="0">
      <alignment horizontal="right" vertical="center"/>
    </xf>
    <xf numFmtId="167" fontId="39" fillId="27" borderId="15" applyNumberFormat="0" applyBorder="0" applyProtection="0">
      <alignment horizontal="right" vertical="center"/>
    </xf>
    <xf numFmtId="167" fontId="40" fillId="27" borderId="2" applyNumberFormat="0" applyBorder="0" applyProtection="0">
      <alignment horizontal="right" vertical="center"/>
    </xf>
    <xf numFmtId="167" fontId="40" fillId="27" borderId="16" applyNumberFormat="0" applyBorder="0" applyProtection="0">
      <alignment horizontal="right" vertical="center"/>
    </xf>
    <xf numFmtId="167" fontId="39" fillId="41" borderId="14" applyNumberFormat="0" applyAlignment="0" applyProtection="0">
      <alignment horizontal="left" vertical="center" indent="1"/>
    </xf>
    <xf numFmtId="0" fontId="40" fillId="25" borderId="16" applyNumberFormat="0" applyAlignment="0" applyProtection="0">
      <alignment horizontal="left" vertical="center" indent="1"/>
    </xf>
    <xf numFmtId="169" fontId="40" fillId="25" borderId="16" applyNumberFormat="0" applyAlignment="0" applyProtection="0">
      <alignment horizontal="left" vertical="center" indent="1"/>
    </xf>
    <xf numFmtId="0" fontId="41" fillId="28" borderId="16" applyNumberFormat="0" applyAlignment="0" applyProtection="0">
      <alignment horizontal="left" vertical="center" indent="1"/>
    </xf>
    <xf numFmtId="169" fontId="41" fillId="28" borderId="16" applyNumberFormat="0" applyAlignment="0" applyProtection="0">
      <alignment horizontal="left" vertical="center" indent="1"/>
    </xf>
    <xf numFmtId="167" fontId="40" fillId="28" borderId="16" applyNumberFormat="0" applyProtection="0">
      <alignment horizontal="right" vertical="center"/>
    </xf>
    <xf numFmtId="0" fontId="18" fillId="0" borderId="0" applyNumberFormat="0" applyFill="0" applyBorder="0" applyAlignment="0" applyProtection="0"/>
    <xf numFmtId="0" fontId="20" fillId="0" borderId="13" applyNumberFormat="0" applyFill="0" applyAlignment="0" applyProtection="0"/>
    <xf numFmtId="0" fontId="34" fillId="0" borderId="0" applyNumberFormat="0" applyFill="0" applyBorder="0" applyAlignment="0" applyProtection="0"/>
    <xf numFmtId="0" fontId="10" fillId="0" borderId="0"/>
    <xf numFmtId="165" fontId="10" fillId="0" borderId="0" applyFont="0" applyFill="0" applyBorder="0" applyAlignment="0" applyProtection="0"/>
    <xf numFmtId="0" fontId="50" fillId="0" borderId="0" applyNumberFormat="0" applyFill="0" applyBorder="0" applyAlignment="0" applyProtection="0">
      <alignment vertical="top"/>
      <protection locked="0"/>
    </xf>
    <xf numFmtId="164" fontId="10" fillId="0" borderId="0" applyFont="0" applyFill="0" applyBorder="0" applyAlignment="0" applyProtection="0"/>
    <xf numFmtId="9" fontId="10" fillId="0" borderId="0" applyFont="0" applyFill="0" applyBorder="0" applyAlignment="0" applyProtection="0"/>
    <xf numFmtId="0" fontId="51" fillId="0" borderId="0"/>
    <xf numFmtId="164" fontId="10" fillId="0" borderId="0" applyFont="0" applyFill="0" applyBorder="0" applyAlignment="0" applyProtection="0"/>
    <xf numFmtId="0" fontId="52" fillId="42" borderId="0" applyNumberFormat="0" applyBorder="0" applyAlignment="0" applyProtection="0"/>
    <xf numFmtId="0" fontId="53" fillId="2" borderId="1" applyNumberFormat="0" applyAlignment="0" applyProtection="0"/>
    <xf numFmtId="0" fontId="54" fillId="3" borderId="1" applyNumberFormat="0" applyAlignment="0" applyProtection="0"/>
    <xf numFmtId="14" fontId="12" fillId="0" borderId="0" applyFont="0" applyFill="0" applyBorder="0">
      <alignment horizontal="right"/>
    </xf>
    <xf numFmtId="0" fontId="10" fillId="0" borderId="0"/>
    <xf numFmtId="43" fontId="10" fillId="0" borderId="0" applyFont="0" applyFill="0" applyBorder="0" applyAlignment="0" applyProtection="0"/>
    <xf numFmtId="43" fontId="1" fillId="0" borderId="0" applyFont="0" applyFill="0" applyBorder="0" applyAlignment="0" applyProtection="0"/>
  </cellStyleXfs>
  <cellXfs count="185">
    <xf numFmtId="0" fontId="0" fillId="0" borderId="0" xfId="0"/>
    <xf numFmtId="0" fontId="2" fillId="0" borderId="0" xfId="0" applyFont="1"/>
    <xf numFmtId="0" fontId="0" fillId="0" borderId="0" xfId="0" applyAlignment="1">
      <alignment wrapText="1"/>
    </xf>
    <xf numFmtId="0" fontId="0" fillId="0" borderId="0" xfId="0" applyAlignment="1">
      <alignment vertical="center" wrapText="1"/>
    </xf>
    <xf numFmtId="0" fontId="2" fillId="0" borderId="0" xfId="0" applyFont="1" applyAlignment="1">
      <alignment horizontal="right"/>
    </xf>
    <xf numFmtId="0" fontId="56" fillId="0" borderId="0" xfId="0" applyFont="1"/>
    <xf numFmtId="0" fontId="13" fillId="0" borderId="0" xfId="0" applyFont="1" applyAlignment="1">
      <alignment horizontal="center" vertical="center"/>
    </xf>
    <xf numFmtId="0" fontId="8" fillId="0" borderId="0" xfId="0" applyFont="1"/>
    <xf numFmtId="0" fontId="11" fillId="0" borderId="0" xfId="0" applyFont="1" applyAlignment="1">
      <alignment vertical="center"/>
    </xf>
    <xf numFmtId="0" fontId="5" fillId="0" borderId="0" xfId="0" applyFont="1" applyAlignment="1">
      <alignment horizontal="center" vertical="center"/>
    </xf>
    <xf numFmtId="0" fontId="14" fillId="0" borderId="0" xfId="0" applyFont="1" applyAlignment="1">
      <alignment vertical="center"/>
    </xf>
    <xf numFmtId="0" fontId="14" fillId="0" borderId="0" xfId="0" applyFont="1" applyAlignment="1">
      <alignment horizontal="left" vertical="center"/>
    </xf>
    <xf numFmtId="0" fontId="13" fillId="0" borderId="0" xfId="0" applyFont="1" applyAlignment="1">
      <alignment vertical="center"/>
    </xf>
    <xf numFmtId="0" fontId="57" fillId="0" borderId="0" xfId="0" applyFont="1" applyAlignment="1">
      <alignment vertical="center"/>
    </xf>
    <xf numFmtId="0" fontId="6" fillId="0" borderId="0" xfId="0" applyFont="1" applyAlignment="1">
      <alignment horizontal="justify" vertical="center"/>
    </xf>
    <xf numFmtId="0" fontId="9" fillId="0" borderId="0" xfId="0" quotePrefix="1" applyFont="1" applyAlignment="1">
      <alignment horizontal="justify" vertical="center" wrapText="1"/>
    </xf>
    <xf numFmtId="0" fontId="6" fillId="0" borderId="0" xfId="0" applyFont="1" applyAlignment="1">
      <alignment horizontal="justify" vertical="center" wrapText="1"/>
    </xf>
    <xf numFmtId="0" fontId="8" fillId="0" borderId="0" xfId="0" applyFont="1" applyAlignment="1">
      <alignment wrapText="1"/>
    </xf>
    <xf numFmtId="0" fontId="7" fillId="0" borderId="0" xfId="0" applyFont="1" applyAlignment="1">
      <alignment horizontal="justify" vertical="center"/>
    </xf>
    <xf numFmtId="0" fontId="9" fillId="0" borderId="0" xfId="0" quotePrefix="1" applyFont="1" applyAlignment="1">
      <alignment horizontal="justify" vertical="top" wrapText="1"/>
    </xf>
    <xf numFmtId="0" fontId="8" fillId="0" borderId="0" xfId="0" applyFont="1" applyAlignment="1">
      <alignment vertical="center" wrapText="1"/>
    </xf>
    <xf numFmtId="0" fontId="9" fillId="0" borderId="0" xfId="0" applyFont="1" applyAlignment="1">
      <alignment horizontal="justify" vertical="center" wrapText="1"/>
    </xf>
    <xf numFmtId="0" fontId="58" fillId="0" borderId="0" xfId="0" applyFont="1" applyAlignment="1">
      <alignment vertical="center" wrapText="1"/>
    </xf>
    <xf numFmtId="0" fontId="58" fillId="0" borderId="0" xfId="0" applyFont="1"/>
    <xf numFmtId="0" fontId="59" fillId="0" borderId="0" xfId="0" applyFont="1" applyAlignment="1">
      <alignment horizontal="left" vertical="top" wrapText="1"/>
    </xf>
    <xf numFmtId="0" fontId="60" fillId="0" borderId="0" xfId="0" applyFont="1" applyAlignment="1">
      <alignment horizontal="left" vertical="center" readingOrder="2"/>
    </xf>
    <xf numFmtId="0" fontId="61" fillId="0" borderId="0" xfId="0" applyFont="1" applyAlignment="1">
      <alignment vertical="center"/>
    </xf>
    <xf numFmtId="0" fontId="62" fillId="0" borderId="0" xfId="0" applyFont="1" applyAlignment="1">
      <alignment vertical="center"/>
    </xf>
    <xf numFmtId="0" fontId="61" fillId="0" borderId="0" xfId="0" applyFont="1" applyAlignment="1">
      <alignment horizontal="center" vertical="center"/>
    </xf>
    <xf numFmtId="0" fontId="4" fillId="0" borderId="0" xfId="0" applyFont="1" applyAlignment="1">
      <alignment horizontal="left" vertical="center" indent="2"/>
    </xf>
    <xf numFmtId="0" fontId="61" fillId="0" borderId="0" xfId="0" applyFont="1" applyAlignment="1">
      <alignment horizontal="left" vertical="center"/>
    </xf>
    <xf numFmtId="0" fontId="61" fillId="0" borderId="0" xfId="0" applyFont="1" applyAlignment="1">
      <alignment horizontal="right" vertical="center"/>
    </xf>
    <xf numFmtId="0" fontId="57" fillId="0" borderId="0" xfId="0" applyFont="1"/>
    <xf numFmtId="0" fontId="57" fillId="0" borderId="0" xfId="0" applyFont="1" applyAlignment="1">
      <alignment horizontal="right"/>
    </xf>
    <xf numFmtId="0" fontId="0" fillId="0" borderId="0" xfId="0" applyAlignment="1">
      <alignment horizontal="left"/>
    </xf>
    <xf numFmtId="0" fontId="63" fillId="0" borderId="0" xfId="0" applyFont="1" applyAlignment="1">
      <alignment horizontal="right"/>
    </xf>
    <xf numFmtId="0" fontId="6" fillId="0" borderId="0" xfId="0" applyFont="1" applyAlignment="1">
      <alignment horizontal="left" vertical="top" wrapText="1"/>
    </xf>
    <xf numFmtId="0" fontId="57" fillId="0" borderId="0" xfId="0" applyFont="1" applyAlignment="1">
      <alignment horizontal="left" vertical="top" wrapText="1"/>
    </xf>
    <xf numFmtId="0" fontId="63" fillId="43" borderId="0" xfId="0" applyFont="1" applyFill="1" applyAlignment="1">
      <alignment horizontal="center"/>
    </xf>
    <xf numFmtId="0" fontId="3" fillId="0" borderId="0" xfId="1" applyAlignment="1">
      <alignment vertical="center"/>
    </xf>
    <xf numFmtId="0" fontId="57" fillId="0" borderId="0" xfId="0" applyFont="1" applyAlignment="1">
      <alignment vertical="center" wrapText="1"/>
    </xf>
    <xf numFmtId="0" fontId="9" fillId="0" borderId="0" xfId="0" applyFont="1" applyAlignment="1">
      <alignment vertical="center"/>
    </xf>
    <xf numFmtId="0" fontId="9" fillId="0" borderId="0" xfId="0" quotePrefix="1" applyFont="1" applyAlignment="1">
      <alignment horizontal="justify" vertical="center"/>
    </xf>
    <xf numFmtId="0" fontId="6" fillId="0" borderId="0" xfId="0" applyFont="1" applyAlignment="1">
      <alignment vertical="top"/>
    </xf>
    <xf numFmtId="0" fontId="7" fillId="0" borderId="0" xfId="0" applyFont="1" applyAlignment="1">
      <alignment horizontal="left" vertical="top"/>
    </xf>
    <xf numFmtId="0" fontId="7" fillId="0" borderId="0" xfId="0" applyFont="1" applyAlignment="1">
      <alignment horizontal="left" vertical="top" wrapText="1"/>
    </xf>
    <xf numFmtId="0" fontId="6" fillId="0" borderId="0" xfId="0" applyFont="1" applyAlignment="1">
      <alignment horizontal="left" vertical="top"/>
    </xf>
    <xf numFmtId="0" fontId="66" fillId="0" borderId="0" xfId="0" applyFont="1"/>
    <xf numFmtId="0" fontId="67" fillId="0" borderId="0" xfId="0" applyFont="1"/>
    <xf numFmtId="0" fontId="68" fillId="0" borderId="0" xfId="0" applyFont="1"/>
    <xf numFmtId="0" fontId="64" fillId="0" borderId="0" xfId="0" applyFont="1" applyAlignment="1">
      <alignment vertical="top" wrapText="1"/>
    </xf>
    <xf numFmtId="0" fontId="66" fillId="0" borderId="0" xfId="0" applyFont="1" applyAlignment="1">
      <alignment horizontal="center"/>
    </xf>
    <xf numFmtId="0" fontId="68" fillId="0" borderId="19" xfId="0" applyFont="1" applyBorder="1" applyAlignment="1">
      <alignment horizontal="center" vertical="center"/>
    </xf>
    <xf numFmtId="15" fontId="68" fillId="0" borderId="19" xfId="0" applyNumberFormat="1" applyFont="1" applyBorder="1" applyAlignment="1">
      <alignment horizontal="center" vertical="center"/>
    </xf>
    <xf numFmtId="0" fontId="65" fillId="0" borderId="0" xfId="0" applyFont="1" applyAlignment="1">
      <alignment vertical="center" wrapText="1"/>
    </xf>
    <xf numFmtId="0" fontId="66" fillId="0" borderId="0" xfId="0" applyFont="1" applyAlignment="1">
      <alignment vertical="top" wrapText="1"/>
    </xf>
    <xf numFmtId="0" fontId="64" fillId="0" borderId="19" xfId="0" applyFont="1" applyBorder="1" applyAlignment="1">
      <alignment horizontal="center" vertical="center"/>
    </xf>
    <xf numFmtId="0" fontId="64" fillId="43" borderId="19" xfId="0" applyFont="1" applyFill="1" applyBorder="1" applyAlignment="1">
      <alignment horizontal="center" vertical="center"/>
    </xf>
    <xf numFmtId="0" fontId="9" fillId="0" borderId="0" xfId="0" applyFont="1" applyAlignment="1">
      <alignment horizontal="left"/>
    </xf>
    <xf numFmtId="0" fontId="9" fillId="0" borderId="0" xfId="0" applyFont="1"/>
    <xf numFmtId="0" fontId="7" fillId="0" borderId="0" xfId="0" applyFont="1"/>
    <xf numFmtId="0" fontId="9" fillId="0" borderId="0" xfId="0" quotePrefix="1" applyFont="1" applyAlignment="1">
      <alignment horizontal="left"/>
    </xf>
    <xf numFmtId="0" fontId="9" fillId="0" borderId="0" xfId="0" applyFont="1" applyAlignment="1">
      <alignment horizontal="left" vertical="top"/>
    </xf>
    <xf numFmtId="0" fontId="9" fillId="0" borderId="0" xfId="0" quotePrefix="1" applyFont="1" applyAlignment="1">
      <alignment horizontal="left" vertical="top"/>
    </xf>
    <xf numFmtId="0" fontId="7" fillId="0" borderId="0" xfId="0" applyFont="1" applyAlignment="1">
      <alignment horizontal="right"/>
    </xf>
    <xf numFmtId="0" fontId="7" fillId="0" borderId="0" xfId="0" applyFont="1" applyAlignment="1">
      <alignment horizontal="left" vertical="center"/>
    </xf>
    <xf numFmtId="0" fontId="7" fillId="0" borderId="0" xfId="0" applyFont="1" applyAlignment="1">
      <alignment vertical="center"/>
    </xf>
    <xf numFmtId="0" fontId="57" fillId="0" borderId="0" xfId="0" applyFont="1" applyAlignment="1">
      <alignment horizontal="left" vertical="center"/>
    </xf>
    <xf numFmtId="0" fontId="7" fillId="0" borderId="0" xfId="0" applyFont="1" applyAlignment="1">
      <alignment horizontal="left" vertical="center" indent="5"/>
    </xf>
    <xf numFmtId="0" fontId="6" fillId="0" borderId="0" xfId="0" applyFont="1"/>
    <xf numFmtId="0" fontId="69" fillId="0" borderId="0" xfId="0" applyFont="1" applyAlignment="1">
      <alignment horizontal="left" vertical="center" readingOrder="2"/>
    </xf>
    <xf numFmtId="0" fontId="70" fillId="0" borderId="0" xfId="0" applyFont="1" applyAlignment="1">
      <alignment vertical="center"/>
    </xf>
    <xf numFmtId="0" fontId="71" fillId="0" borderId="0" xfId="0" applyFont="1" applyAlignment="1">
      <alignment horizontal="center" vertical="center"/>
    </xf>
    <xf numFmtId="0" fontId="64" fillId="0" borderId="19" xfId="0" applyFont="1" applyBorder="1" applyAlignment="1">
      <alignment horizontal="left" vertical="center"/>
    </xf>
    <xf numFmtId="10" fontId="0" fillId="0" borderId="0" xfId="0" applyNumberFormat="1"/>
    <xf numFmtId="0" fontId="68" fillId="0" borderId="19" xfId="0" quotePrefix="1" applyFont="1" applyBorder="1" applyAlignment="1">
      <alignment horizontal="center" vertical="center"/>
    </xf>
    <xf numFmtId="0" fontId="68" fillId="0" borderId="19" xfId="0" applyFont="1" applyBorder="1" applyAlignment="1">
      <alignment horizontal="center" vertical="center" wrapText="1"/>
    </xf>
    <xf numFmtId="2" fontId="68" fillId="0" borderId="19" xfId="0" applyNumberFormat="1" applyFont="1" applyBorder="1" applyAlignment="1">
      <alignment horizontal="center" vertical="center" wrapText="1"/>
    </xf>
    <xf numFmtId="170" fontId="68" fillId="0" borderId="19" xfId="0" quotePrefix="1" applyNumberFormat="1" applyFont="1" applyBorder="1" applyAlignment="1">
      <alignment horizontal="center" vertical="center"/>
    </xf>
    <xf numFmtId="2" fontId="68" fillId="0" borderId="19" xfId="0" applyNumberFormat="1" applyFont="1" applyBorder="1" applyAlignment="1">
      <alignment horizontal="center" vertical="center"/>
    </xf>
    <xf numFmtId="0" fontId="57" fillId="0" borderId="0" xfId="0" applyFont="1" applyAlignment="1">
      <alignment vertical="top"/>
    </xf>
    <xf numFmtId="49" fontId="57" fillId="0" borderId="0" xfId="0" applyNumberFormat="1" applyFont="1" applyAlignment="1">
      <alignment vertical="top"/>
    </xf>
    <xf numFmtId="0" fontId="9" fillId="43" borderId="20" xfId="0" quotePrefix="1" applyFont="1" applyFill="1" applyBorder="1" applyAlignment="1">
      <alignment horizontal="center" vertical="center"/>
    </xf>
    <xf numFmtId="0" fontId="66" fillId="0" borderId="0" xfId="0" applyFont="1" applyAlignment="1">
      <alignment horizontal="center" vertical="center"/>
    </xf>
    <xf numFmtId="10" fontId="66" fillId="0" borderId="0" xfId="0" applyNumberFormat="1" applyFont="1"/>
    <xf numFmtId="0" fontId="9" fillId="0" borderId="0" xfId="0" applyFont="1" applyAlignment="1">
      <alignment horizontal="right"/>
    </xf>
    <xf numFmtId="0" fontId="6" fillId="0" borderId="0" xfId="0" applyFont="1" applyAlignment="1">
      <alignment vertical="top" wrapText="1"/>
    </xf>
    <xf numFmtId="0" fontId="9" fillId="0" borderId="0" xfId="0" applyFont="1" applyAlignment="1">
      <alignment vertical="top" wrapText="1"/>
    </xf>
    <xf numFmtId="2" fontId="6" fillId="0" borderId="0" xfId="0" applyNumberFormat="1" applyFont="1" applyAlignment="1">
      <alignment vertical="top" wrapText="1"/>
    </xf>
    <xf numFmtId="0" fontId="6" fillId="0" borderId="19" xfId="0" applyFont="1" applyBorder="1" applyAlignment="1">
      <alignment vertical="top" wrapText="1"/>
    </xf>
    <xf numFmtId="0" fontId="9" fillId="0" borderId="21" xfId="0" applyFont="1" applyBorder="1"/>
    <xf numFmtId="0" fontId="6" fillId="0" borderId="22" xfId="0" applyFont="1" applyBorder="1" applyAlignment="1">
      <alignment vertical="top" wrapText="1"/>
    </xf>
    <xf numFmtId="0" fontId="57" fillId="0" borderId="19" xfId="0" applyFont="1" applyBorder="1" applyAlignment="1">
      <alignment horizontal="center" vertical="top" wrapText="1"/>
    </xf>
    <xf numFmtId="43" fontId="6" fillId="0" borderId="0" xfId="153" applyFont="1" applyAlignment="1">
      <alignment vertical="top" wrapText="1"/>
    </xf>
    <xf numFmtId="43" fontId="6" fillId="0" borderId="23" xfId="153" applyFont="1" applyBorder="1" applyAlignment="1">
      <alignment vertical="top" wrapText="1"/>
    </xf>
    <xf numFmtId="0" fontId="66" fillId="45" borderId="0" xfId="0" applyFont="1" applyFill="1"/>
    <xf numFmtId="0" fontId="73" fillId="0" borderId="0" xfId="0" applyFont="1"/>
    <xf numFmtId="2" fontId="66" fillId="0" borderId="19" xfId="0" applyNumberFormat="1" applyFont="1" applyBorder="1" applyAlignment="1">
      <alignment horizontal="center" vertical="center"/>
    </xf>
    <xf numFmtId="0" fontId="66" fillId="0" borderId="19" xfId="0" applyFont="1" applyBorder="1" applyAlignment="1">
      <alignment horizontal="center" vertical="center"/>
    </xf>
    <xf numFmtId="0" fontId="67" fillId="0" borderId="0" xfId="0" applyFont="1" applyAlignment="1">
      <alignment horizontal="right"/>
    </xf>
    <xf numFmtId="0" fontId="66" fillId="0" borderId="0" xfId="0" applyFont="1" applyAlignment="1">
      <alignment horizontal="left"/>
    </xf>
    <xf numFmtId="0" fontId="66" fillId="0" borderId="0" xfId="0" applyFont="1" applyAlignment="1">
      <alignment horizontal="left" vertical="center"/>
    </xf>
    <xf numFmtId="0" fontId="0" fillId="0" borderId="0" xfId="0" applyAlignment="1">
      <alignment horizontal="left" wrapText="1"/>
    </xf>
    <xf numFmtId="0" fontId="66" fillId="0" borderId="19" xfId="0" applyFont="1" applyBorder="1" applyAlignment="1">
      <alignment horizontal="left" vertical="center"/>
    </xf>
    <xf numFmtId="0" fontId="64" fillId="0" borderId="19" xfId="0" applyFont="1" applyBorder="1" applyAlignment="1">
      <alignment vertical="center"/>
    </xf>
    <xf numFmtId="170" fontId="68" fillId="0" borderId="19" xfId="0" applyNumberFormat="1" applyFont="1" applyBorder="1" applyAlignment="1">
      <alignment horizontal="center" vertical="center"/>
    </xf>
    <xf numFmtId="0" fontId="76" fillId="43" borderId="19" xfId="0" applyFont="1" applyFill="1" applyBorder="1" applyAlignment="1">
      <alignment horizontal="center" wrapText="1"/>
    </xf>
    <xf numFmtId="2" fontId="66" fillId="43" borderId="19" xfId="0" applyNumberFormat="1" applyFont="1" applyFill="1" applyBorder="1" applyAlignment="1">
      <alignment horizontal="center" vertical="center"/>
    </xf>
    <xf numFmtId="0" fontId="67" fillId="45" borderId="19" xfId="0" applyFont="1" applyFill="1" applyBorder="1" applyAlignment="1">
      <alignment horizontal="center"/>
    </xf>
    <xf numFmtId="10" fontId="9" fillId="43" borderId="24" xfId="0" applyNumberFormat="1" applyFont="1" applyFill="1" applyBorder="1" applyAlignment="1">
      <alignment horizontal="center" wrapText="1"/>
    </xf>
    <xf numFmtId="0" fontId="76" fillId="43" borderId="25" xfId="0" applyFont="1" applyFill="1" applyBorder="1" applyAlignment="1">
      <alignment horizontal="center" wrapText="1"/>
    </xf>
    <xf numFmtId="1" fontId="67" fillId="45" borderId="19" xfId="0" applyNumberFormat="1" applyFont="1" applyFill="1" applyBorder="1" applyAlignment="1">
      <alignment horizontal="center"/>
    </xf>
    <xf numFmtId="0" fontId="37" fillId="0" borderId="19" xfId="1" applyFont="1" applyBorder="1" applyAlignment="1">
      <alignment horizontal="left" vertical="center"/>
    </xf>
    <xf numFmtId="0" fontId="0" fillId="0" borderId="0" xfId="0" applyAlignment="1">
      <alignment horizontal="center"/>
    </xf>
    <xf numFmtId="0" fontId="64" fillId="43" borderId="19" xfId="0" applyFont="1" applyFill="1" applyBorder="1" applyAlignment="1">
      <alignment horizontal="left" vertical="center"/>
    </xf>
    <xf numFmtId="0" fontId="57" fillId="0" borderId="0" xfId="0" applyFont="1" applyAlignment="1">
      <alignment horizontal="center" vertical="center" wrapText="1"/>
    </xf>
    <xf numFmtId="0" fontId="6" fillId="0" borderId="0" xfId="0" applyFont="1" applyAlignment="1">
      <alignment vertical="center" wrapText="1"/>
    </xf>
    <xf numFmtId="15" fontId="68" fillId="0" borderId="26" xfId="0" applyNumberFormat="1" applyFont="1" applyBorder="1" applyAlignment="1">
      <alignment horizontal="center" vertical="center"/>
    </xf>
    <xf numFmtId="0" fontId="68" fillId="0" borderId="26" xfId="0" applyFont="1" applyBorder="1" applyAlignment="1">
      <alignment horizontal="center" vertical="center"/>
    </xf>
    <xf numFmtId="0" fontId="64" fillId="0" borderId="26" xfId="0" applyFont="1" applyBorder="1" applyAlignment="1">
      <alignment horizontal="left" vertical="center"/>
    </xf>
    <xf numFmtId="0" fontId="64" fillId="43" borderId="26" xfId="0" applyFont="1" applyFill="1" applyBorder="1" applyAlignment="1">
      <alignment horizontal="left" vertical="center"/>
    </xf>
    <xf numFmtId="0" fontId="64" fillId="0" borderId="26" xfId="0" applyFont="1" applyBorder="1" applyAlignment="1">
      <alignment horizontal="center" vertical="center"/>
    </xf>
    <xf numFmtId="0" fontId="68" fillId="0" borderId="26" xfId="0" quotePrefix="1" applyFont="1" applyBorder="1" applyAlignment="1">
      <alignment horizontal="center" vertical="center"/>
    </xf>
    <xf numFmtId="0" fontId="68" fillId="0" borderId="26" xfId="0" applyFont="1" applyBorder="1" applyAlignment="1">
      <alignment horizontal="center" vertical="center" wrapText="1"/>
    </xf>
    <xf numFmtId="2" fontId="68" fillId="0" borderId="26" xfId="0" applyNumberFormat="1" applyFont="1" applyBorder="1" applyAlignment="1">
      <alignment horizontal="center" vertical="center" wrapText="1"/>
    </xf>
    <xf numFmtId="2" fontId="68" fillId="0" borderId="26" xfId="0" applyNumberFormat="1" applyFont="1" applyBorder="1" applyAlignment="1">
      <alignment horizontal="center" vertical="center"/>
    </xf>
    <xf numFmtId="170" fontId="68" fillId="0" borderId="26" xfId="0" quotePrefix="1" applyNumberFormat="1" applyFont="1" applyBorder="1" applyAlignment="1">
      <alignment horizontal="center" vertical="center"/>
    </xf>
    <xf numFmtId="0" fontId="66" fillId="0" borderId="26" xfId="0" applyFont="1" applyBorder="1" applyAlignment="1">
      <alignment horizontal="center" vertical="center"/>
    </xf>
    <xf numFmtId="2" fontId="66" fillId="43" borderId="26" xfId="0" applyNumberFormat="1" applyFont="1" applyFill="1" applyBorder="1" applyAlignment="1">
      <alignment horizontal="center" vertical="center"/>
    </xf>
    <xf numFmtId="0" fontId="3" fillId="0" borderId="19" xfId="1" applyBorder="1" applyAlignment="1">
      <alignment horizontal="left" vertical="center"/>
    </xf>
    <xf numFmtId="0" fontId="68" fillId="45" borderId="26" xfId="0" applyFont="1" applyFill="1" applyBorder="1" applyAlignment="1">
      <alignment horizontal="center" vertical="center"/>
    </xf>
    <xf numFmtId="0" fontId="9" fillId="47" borderId="19" xfId="0" applyFont="1" applyFill="1" applyBorder="1" applyAlignment="1">
      <alignment horizontal="center" wrapText="1"/>
    </xf>
    <xf numFmtId="0" fontId="9" fillId="47" borderId="19" xfId="0" applyFont="1" applyFill="1" applyBorder="1" applyAlignment="1">
      <alignment horizontal="left" wrapText="1"/>
    </xf>
    <xf numFmtId="10" fontId="9" fillId="47" borderId="19" xfId="0" applyNumberFormat="1" applyFont="1" applyFill="1" applyBorder="1" applyAlignment="1">
      <alignment horizontal="center" wrapText="1"/>
    </xf>
    <xf numFmtId="0" fontId="76" fillId="47" borderId="19" xfId="0" applyFont="1" applyFill="1" applyBorder="1" applyAlignment="1">
      <alignment horizontal="center" wrapText="1"/>
    </xf>
    <xf numFmtId="0" fontId="9" fillId="0" borderId="0" xfId="0" applyFont="1" applyAlignment="1">
      <alignment horizontal="left" vertical="top" wrapText="1"/>
    </xf>
    <xf numFmtId="0" fontId="72" fillId="0" borderId="0" xfId="0" applyFont="1" applyAlignment="1">
      <alignment horizontal="center" vertical="center"/>
    </xf>
    <xf numFmtId="0" fontId="9" fillId="0" borderId="0" xfId="0" applyFont="1" applyAlignment="1">
      <alignment horizontal="left"/>
    </xf>
    <xf numFmtId="0" fontId="9" fillId="0" borderId="0" xfId="0" applyFont="1" applyAlignment="1">
      <alignment horizontal="left" vertical="center"/>
    </xf>
    <xf numFmtId="0" fontId="6" fillId="0" borderId="0" xfId="0" applyFont="1" applyAlignment="1">
      <alignment horizontal="left" vertical="top" wrapText="1"/>
    </xf>
    <xf numFmtId="0" fontId="57" fillId="0" borderId="0" xfId="0" applyFont="1" applyAlignment="1">
      <alignment horizontal="left" vertical="top" wrapText="1"/>
    </xf>
    <xf numFmtId="0" fontId="7" fillId="0" borderId="0" xfId="0" applyFont="1" applyAlignment="1">
      <alignment horizontal="center" vertical="top"/>
    </xf>
    <xf numFmtId="0" fontId="9" fillId="0" borderId="0" xfId="0" applyFont="1" applyAlignment="1">
      <alignment horizontal="center" vertical="center"/>
    </xf>
    <xf numFmtId="0" fontId="6" fillId="0" borderId="0" xfId="0" applyFont="1" applyAlignment="1">
      <alignment vertical="top" wrapText="1"/>
    </xf>
    <xf numFmtId="0" fontId="9" fillId="0" borderId="0" xfId="0" applyFont="1" applyAlignment="1">
      <alignment vertical="top" wrapText="1"/>
    </xf>
    <xf numFmtId="0" fontId="75" fillId="46" borderId="23" xfId="0" applyFont="1" applyFill="1" applyBorder="1" applyAlignment="1">
      <alignment horizontal="center"/>
    </xf>
    <xf numFmtId="0" fontId="75" fillId="46" borderId="19" xfId="0" applyFont="1" applyFill="1" applyBorder="1" applyAlignment="1">
      <alignment horizontal="center"/>
    </xf>
    <xf numFmtId="0" fontId="57" fillId="0" borderId="0" xfId="0" applyFont="1" applyAlignment="1">
      <alignment horizontal="left" vertical="center" wrapText="1"/>
    </xf>
    <xf numFmtId="0" fontId="55" fillId="0" borderId="0" xfId="0" applyFont="1" applyAlignment="1">
      <alignment horizontal="center" vertical="center"/>
    </xf>
    <xf numFmtId="0" fontId="7" fillId="0" borderId="0" xfId="0" applyFont="1" applyAlignment="1">
      <alignment horizontal="left" vertical="top" wrapText="1"/>
    </xf>
    <xf numFmtId="0" fontId="0" fillId="0" borderId="0" xfId="0" applyAlignment="1">
      <alignment wrapText="1"/>
    </xf>
    <xf numFmtId="169" fontId="56" fillId="0" borderId="0" xfId="0" applyNumberFormat="1" applyFont="1" applyAlignment="1">
      <alignment horizontal="right"/>
    </xf>
    <xf numFmtId="0" fontId="61" fillId="0" borderId="0" xfId="0" applyFont="1" applyAlignment="1">
      <alignment horizontal="center" vertical="center"/>
    </xf>
    <xf numFmtId="0" fontId="9" fillId="0" borderId="0" xfId="0" applyFont="1" applyAlignment="1">
      <alignment horizontal="left" vertical="center" wrapText="1"/>
    </xf>
    <xf numFmtId="0" fontId="13" fillId="0" borderId="0" xfId="0" applyFont="1" applyAlignment="1">
      <alignment horizontal="center" vertical="center"/>
    </xf>
    <xf numFmtId="0" fontId="9" fillId="0" borderId="0" xfId="0" applyFont="1" applyAlignment="1">
      <alignment vertical="top"/>
    </xf>
    <xf numFmtId="0" fontId="57" fillId="0" borderId="0" xfId="0" applyFont="1" applyAlignment="1">
      <alignment horizontal="left" vertical="center"/>
    </xf>
    <xf numFmtId="0" fontId="57" fillId="44" borderId="19" xfId="0" applyFont="1" applyFill="1" applyBorder="1" applyAlignment="1">
      <alignment horizontal="left" vertical="center"/>
    </xf>
    <xf numFmtId="0" fontId="57" fillId="0" borderId="21" xfId="0" applyFont="1" applyBorder="1" applyAlignment="1">
      <alignment horizontal="left" vertical="center"/>
    </xf>
    <xf numFmtId="0" fontId="57" fillId="0" borderId="22" xfId="0" applyFont="1" applyBorder="1" applyAlignment="1">
      <alignment horizontal="left" vertical="center"/>
    </xf>
    <xf numFmtId="0" fontId="57" fillId="0" borderId="23" xfId="0" applyFont="1" applyBorder="1" applyAlignment="1">
      <alignment horizontal="left" vertical="center"/>
    </xf>
    <xf numFmtId="0" fontId="6" fillId="0" borderId="21" xfId="0" applyFont="1" applyBorder="1" applyAlignment="1">
      <alignment horizontal="center" vertical="top" wrapText="1"/>
    </xf>
    <xf numFmtId="0" fontId="6" fillId="0" borderId="22" xfId="0" applyFont="1" applyBorder="1" applyAlignment="1">
      <alignment horizontal="center" vertical="top" wrapText="1"/>
    </xf>
    <xf numFmtId="0" fontId="6" fillId="0" borderId="23" xfId="0" applyFont="1" applyBorder="1" applyAlignment="1">
      <alignment horizontal="center" vertical="top" wrapText="1"/>
    </xf>
    <xf numFmtId="0" fontId="57" fillId="0" borderId="21" xfId="0" applyFont="1" applyBorder="1" applyAlignment="1">
      <alignment horizontal="left"/>
    </xf>
    <xf numFmtId="0" fontId="57" fillId="0" borderId="22" xfId="0" applyFont="1" applyBorder="1" applyAlignment="1">
      <alignment horizontal="left"/>
    </xf>
    <xf numFmtId="0" fontId="57" fillId="0" borderId="23" xfId="0" applyFont="1" applyBorder="1" applyAlignment="1">
      <alignment horizontal="left"/>
    </xf>
    <xf numFmtId="0" fontId="57" fillId="0" borderId="21" xfId="0" applyFont="1" applyBorder="1" applyAlignment="1">
      <alignment horizontal="left" vertical="top" wrapText="1"/>
    </xf>
    <xf numFmtId="0" fontId="57" fillId="0" borderId="22" xfId="0" applyFont="1" applyBorder="1" applyAlignment="1">
      <alignment horizontal="left" vertical="top" wrapText="1"/>
    </xf>
    <xf numFmtId="0" fontId="57" fillId="0" borderId="23" xfId="0" applyFont="1" applyBorder="1" applyAlignment="1">
      <alignment horizontal="left" vertical="top" wrapText="1"/>
    </xf>
    <xf numFmtId="0" fontId="55" fillId="44" borderId="19" xfId="0" applyFont="1" applyFill="1" applyBorder="1" applyAlignment="1">
      <alignment horizontal="left" vertical="center"/>
    </xf>
    <xf numFmtId="0" fontId="6" fillId="0" borderId="19" xfId="0" applyFont="1" applyBorder="1" applyAlignment="1">
      <alignment horizontal="center" vertical="top" wrapText="1"/>
    </xf>
    <xf numFmtId="0" fontId="57" fillId="0" borderId="19" xfId="0" applyFont="1" applyBorder="1" applyAlignment="1">
      <alignment horizontal="left" vertical="center"/>
    </xf>
    <xf numFmtId="0" fontId="57" fillId="0" borderId="19" xfId="0" applyFont="1" applyBorder="1" applyAlignment="1">
      <alignment horizontal="left"/>
    </xf>
    <xf numFmtId="0" fontId="57" fillId="0" borderId="19" xfId="0" applyFont="1" applyBorder="1" applyAlignment="1">
      <alignment horizontal="left" vertical="top" wrapText="1"/>
    </xf>
    <xf numFmtId="0" fontId="57" fillId="0" borderId="0" xfId="0" applyFont="1" applyAlignment="1">
      <alignment horizontal="center" vertical="center" wrapText="1"/>
    </xf>
    <xf numFmtId="0" fontId="9" fillId="0" borderId="0" xfId="0" quotePrefix="1" applyFont="1" applyAlignment="1">
      <alignment horizontal="left" vertical="top" wrapText="1"/>
    </xf>
    <xf numFmtId="43" fontId="6" fillId="0" borderId="0" xfId="153" applyFont="1" applyAlignment="1">
      <alignment horizontal="right" vertical="top" wrapText="1"/>
    </xf>
    <xf numFmtId="0" fontId="57" fillId="0" borderId="0" xfId="0" applyFont="1" applyAlignment="1">
      <alignment horizontal="left" vertical="top"/>
    </xf>
    <xf numFmtId="0" fontId="9" fillId="45" borderId="0" xfId="0" applyFont="1" applyFill="1" applyAlignment="1">
      <alignment horizontal="left"/>
    </xf>
    <xf numFmtId="0" fontId="9" fillId="45" borderId="0" xfId="0" applyFont="1" applyFill="1"/>
    <xf numFmtId="0" fontId="7" fillId="45" borderId="0" xfId="0" applyFont="1" applyFill="1"/>
    <xf numFmtId="0" fontId="9" fillId="45" borderId="0" xfId="0" applyFont="1" applyFill="1" applyAlignment="1">
      <alignment horizontal="left" vertical="top" wrapText="1"/>
    </xf>
    <xf numFmtId="0" fontId="9" fillId="45" borderId="0" xfId="0" applyFont="1" applyFill="1" applyAlignment="1">
      <alignment vertical="top" wrapText="1"/>
    </xf>
    <xf numFmtId="0" fontId="57" fillId="45" borderId="0" xfId="0" applyFont="1" applyFill="1" applyAlignment="1">
      <alignment horizontal="left" vertical="center"/>
    </xf>
  </cellXfs>
  <cellStyles count="154">
    <cellStyle name="20% - Accent1 2" xfId="6" xr:uid="{74A4EA03-9A69-4677-89C5-36592DCD0F81}"/>
    <cellStyle name="20% - Accent2 2" xfId="7" xr:uid="{AE8C823F-BE2D-4462-8B11-93202A6B1F1E}"/>
    <cellStyle name="20% - Accent3 2" xfId="8" xr:uid="{340961AB-570C-41FD-A657-A8A902CAC96E}"/>
    <cellStyle name="20% - Accent3 2 2" xfId="147" xr:uid="{9990C39C-4D5A-416E-9664-FB02F2B48E7C}"/>
    <cellStyle name="20% - Accent4 2" xfId="9" xr:uid="{09AC5828-E7EE-4124-8E89-3FF794457AFE}"/>
    <cellStyle name="20% - Accent5 2" xfId="10" xr:uid="{662E88EB-C8DF-453C-A9B1-CA99C4E91146}"/>
    <cellStyle name="20% - Accent6 2" xfId="11" xr:uid="{5C5EC2BD-3103-4E51-8E16-AE1A60541FC5}"/>
    <cellStyle name="40% - Accent1 2" xfId="12" xr:uid="{0742BC93-F202-4B03-B043-FEA10536D9C7}"/>
    <cellStyle name="40% - Accent2 2" xfId="13" xr:uid="{03FDB111-B985-4655-98D8-0405BE9D6300}"/>
    <cellStyle name="40% - Accent3 2" xfId="14" xr:uid="{DDF78D04-74D7-41E0-B891-D0C5A023DA33}"/>
    <cellStyle name="40% - Accent4 2" xfId="15" xr:uid="{CAD66425-38FA-46F0-8460-6363E0069C2C}"/>
    <cellStyle name="40% - Accent5 2" xfId="16" xr:uid="{31E0692B-028C-44B4-92E0-F4D661565B95}"/>
    <cellStyle name="40% - Accent6 2" xfId="17" xr:uid="{FAC630AF-E596-4BAA-926A-44213BE86479}"/>
    <cellStyle name="60% - Accent1 2" xfId="18" xr:uid="{30BB9CDA-2CC1-48E5-AB81-737795329039}"/>
    <cellStyle name="60% - Accent2 2" xfId="19" xr:uid="{9386C914-73CA-4674-A62F-8F13AAF0BD60}"/>
    <cellStyle name="60% - Accent3 2" xfId="20" xr:uid="{808613A7-0DD1-4F35-B4A4-3C93D7031C37}"/>
    <cellStyle name="60% - Accent4 2" xfId="21" xr:uid="{C4318866-B23C-40F8-98E6-E18A5D26A883}"/>
    <cellStyle name="60% - Accent5 2" xfId="22" xr:uid="{4B8A713C-B81B-48EB-9A59-3AC941258DA7}"/>
    <cellStyle name="60% - Accent6 2" xfId="23" xr:uid="{8CA12E6B-AE6D-4DDB-A33E-45A9908EB521}"/>
    <cellStyle name="Accent1 2" xfId="24" xr:uid="{B02DFAF0-48F9-48D3-90F3-59AC50D3738B}"/>
    <cellStyle name="Accent2 2" xfId="25" xr:uid="{60E35C98-B297-4FE8-AFA5-FE646DE7D40B}"/>
    <cellStyle name="Accent3 2" xfId="26" xr:uid="{1CA954A8-FE02-40D1-BA13-4EF5BB73C54E}"/>
    <cellStyle name="Accent4 2" xfId="27" xr:uid="{4110B393-4562-4CAF-816F-1892A7CD13E9}"/>
    <cellStyle name="Accent5 2" xfId="28" xr:uid="{7B2B2BC1-0AFB-4DC1-B0BA-EC071FF5A6D9}"/>
    <cellStyle name="Accent6 2" xfId="29" xr:uid="{999A23BF-D1B7-4C10-8A2A-9AC5AF8D29CE}"/>
    <cellStyle name="Bad 2" xfId="30" xr:uid="{ABD153A8-A31A-4383-B3EF-59EAA3F95D0F}"/>
    <cellStyle name="Calculation 2" xfId="31" xr:uid="{DA9270CB-2387-456D-A012-BF15D6C86104}"/>
    <cellStyle name="Calculation 2 2" xfId="149" xr:uid="{2946469E-D66F-47C7-93A6-1ADDFF487E3C}"/>
    <cellStyle name="Check Cell 2" xfId="32" xr:uid="{B4C971F1-61F2-45C2-BC10-6B581903A25E}"/>
    <cellStyle name="Comma" xfId="153" builtinId="3"/>
    <cellStyle name="Comma 2" xfId="33" xr:uid="{316DCF33-D57F-4454-9208-7EAC2BD50A80}"/>
    <cellStyle name="Comma 2 2" xfId="34" xr:uid="{AB1C738B-3159-445F-9A89-54A4A983E8AD}"/>
    <cellStyle name="Comma 3" xfId="35" xr:uid="{5ECFC384-6C73-46BA-81B7-20FB34B9886B}"/>
    <cellStyle name="Comma 3 2" xfId="36" xr:uid="{6415286B-BA8D-4868-986A-7A3673B9D55D}"/>
    <cellStyle name="Comma 4" xfId="37" xr:uid="{B73D5C91-7ABF-44E1-8976-81BD4886A7D4}"/>
    <cellStyle name="Comma 5" xfId="4" xr:uid="{52379B1D-8D69-40B6-AA91-83B511ACC405}"/>
    <cellStyle name="Comma 6" xfId="141" xr:uid="{C1675FCD-2625-48DD-AEA0-66751693D3C6}"/>
    <cellStyle name="Comma 7" xfId="152" xr:uid="{1C613ACB-962F-4098-BF10-2AEED46D881C}"/>
    <cellStyle name="Currency 2" xfId="38" xr:uid="{2B45BA46-C93D-4B5A-8F0C-84DD96337399}"/>
    <cellStyle name="Currency 2 2" xfId="146" xr:uid="{0CBD15DE-FDC4-4C43-947C-0CE48B18CAF2}"/>
    <cellStyle name="Currency 3" xfId="143" xr:uid="{6D6B1CBB-5A93-44F8-B58B-DF0889AFD9AA}"/>
    <cellStyle name="Date" xfId="150" xr:uid="{0D21E0EA-104A-4470-9784-691BFBDC1855}"/>
    <cellStyle name="Explanatory Text 2" xfId="39" xr:uid="{8CCF7915-1E2A-498B-8680-C1C3A1A90C37}"/>
    <cellStyle name="Good 2" xfId="40" xr:uid="{BBECA3A2-6CAF-4E3E-BDDE-42B283E727E4}"/>
    <cellStyle name="Heading 1 2" xfId="41" xr:uid="{664E14A5-A29A-4C4C-8D08-96578BF0E93B}"/>
    <cellStyle name="Heading 2 2" xfId="42" xr:uid="{CE688A1E-47B1-4327-BAAE-B04DE31D0A98}"/>
    <cellStyle name="Heading 3 2" xfId="43" xr:uid="{B0C0BF32-19A4-4046-A22D-8189F884A2BB}"/>
    <cellStyle name="Heading 4 2" xfId="44" xr:uid="{9ACDD565-377B-4F77-96C2-2ACD16455660}"/>
    <cellStyle name="Hyperlink" xfId="1" builtinId="8"/>
    <cellStyle name="Hyperlink 2" xfId="46" xr:uid="{83615484-1CFA-4115-BB1C-B5976F92CC89}"/>
    <cellStyle name="Hyperlink 3" xfId="45" xr:uid="{CEF45260-5083-41A6-A04A-885291036F73}"/>
    <cellStyle name="Hyperlink 4" xfId="142" xr:uid="{09975611-92CD-44F5-B2B4-2FB389A3E44A}"/>
    <cellStyle name="Input 2" xfId="47" xr:uid="{3677708D-A6DB-4CFF-9708-0B0C74D44016}"/>
    <cellStyle name="Input 2 2" xfId="148" xr:uid="{68D34A9A-97EC-4584-A90E-8A9FB690B51A}"/>
    <cellStyle name="Linked Cell 2" xfId="48" xr:uid="{854EF17A-CCC3-4065-8E44-9757473C4E37}"/>
    <cellStyle name="Neutral 2" xfId="49" xr:uid="{83FC9EE4-4636-42A7-9DC3-4D85BAE2AD31}"/>
    <cellStyle name="Normal" xfId="0" builtinId="0"/>
    <cellStyle name="Normal 10" xfId="151" xr:uid="{80445703-192A-49FA-A702-6D5F120A787C}"/>
    <cellStyle name="Normal 2" xfId="2" xr:uid="{BA4B4669-E41C-4F89-987A-9D515CAA0CC2}"/>
    <cellStyle name="Normal 2 2" xfId="51" xr:uid="{C4F65BDF-9764-4EB2-8295-EF260790C0B1}"/>
    <cellStyle name="Normal 2 3" xfId="52" xr:uid="{94EFEEE6-6AD5-4409-B693-9FEA47510880}"/>
    <cellStyle name="Normal 2 3 2" xfId="53" xr:uid="{B1B0941F-3BCC-4E20-8F0D-0B3C4DACAE65}"/>
    <cellStyle name="Normal 2 4" xfId="54" xr:uid="{70E756A5-8251-4227-B158-4F5CED4FE292}"/>
    <cellStyle name="Normal 2 5" xfId="55" xr:uid="{8A38687E-9EE6-43D7-8EC7-3E4A1263091D}"/>
    <cellStyle name="Normal 2 6" xfId="50" xr:uid="{67CC9620-78E8-4023-935D-D92B60A5CA22}"/>
    <cellStyle name="Normal 2 7" xfId="145" xr:uid="{A37E8817-DA35-4C9D-A70C-BC1B5B1F99DD}"/>
    <cellStyle name="Normal 20" xfId="56" xr:uid="{EEF9816C-E22F-4F3B-A6DB-C13205319D72}"/>
    <cellStyle name="Normal 20 2" xfId="57" xr:uid="{AD04CD99-E4FE-4FAA-BEEF-15B189F365C6}"/>
    <cellStyle name="Normal 3" xfId="3" xr:uid="{A02EC6A1-B14C-4606-B172-47D5FEC41A05}"/>
    <cellStyle name="Normal 3 2" xfId="5" xr:uid="{85D0ED2B-D8D6-4402-85BA-0A1CA398724D}"/>
    <cellStyle name="Normal 3 2 2" xfId="59" xr:uid="{2FA0AFDB-2D4A-450C-AC97-7F9996A8A9E6}"/>
    <cellStyle name="Normal 3 3" xfId="60" xr:uid="{98625C56-6136-4534-964D-020800E9BC67}"/>
    <cellStyle name="Normal 3 4" xfId="61" xr:uid="{ADA5ABB9-ECBD-4591-A936-AD8695E6DF84}"/>
    <cellStyle name="Normal 3 5" xfId="58" xr:uid="{DCA1F0E8-93D5-4508-9FC1-3149D524AF20}"/>
    <cellStyle name="Normal 4" xfId="62" xr:uid="{55BED8E1-C1D6-42BB-92A9-7E156E4E0A78}"/>
    <cellStyle name="Normal 5" xfId="63" xr:uid="{38CB544E-94F0-48F0-8194-8CDF42C86C70}"/>
    <cellStyle name="Normal 6" xfId="64" xr:uid="{1A1C8491-C4AD-4582-80AC-C223B75DD89A}"/>
    <cellStyle name="Normal 7" xfId="65" xr:uid="{1905E344-2CE1-4AE0-9875-2F1E7DD51147}"/>
    <cellStyle name="Normal 8" xfId="66" xr:uid="{3081DC6D-FC7D-4749-8489-D01D001ECE13}"/>
    <cellStyle name="Normal 9" xfId="140" xr:uid="{107AF5AD-663D-4A35-9B67-70136553F8EF}"/>
    <cellStyle name="Note 2" xfId="67" xr:uid="{76E49B5E-D047-47A3-B2EC-72D6E7476F71}"/>
    <cellStyle name="Output 2" xfId="68" xr:uid="{75BDE55B-EA42-4382-93D9-56C27C6EEC7A}"/>
    <cellStyle name="Percent 2" xfId="69" xr:uid="{6DAB2792-A92D-408E-AC09-D0513E1BE1FA}"/>
    <cellStyle name="Percent 3" xfId="70" xr:uid="{32AE93B1-8162-438B-A44D-FC1EC89A38A5}"/>
    <cellStyle name="Percent 4" xfId="144" xr:uid="{F53257E1-31B8-4CB1-9A3E-E51219DB5EEF}"/>
    <cellStyle name="SAPBorder" xfId="71" xr:uid="{3CB89856-611B-465F-8DCE-0EE289D1FE54}"/>
    <cellStyle name="SAPBorder 2" xfId="72" xr:uid="{AE80B9E9-0527-4268-B3CC-4464DD57B442}"/>
    <cellStyle name="SAPBorder 3" xfId="73" xr:uid="{C10B1DB9-1BA1-4E32-A8CF-F1410FCB466E}"/>
    <cellStyle name="SAPDataCell" xfId="74" xr:uid="{B0AA7C7D-D858-4AE7-812F-7967ABBA4BE8}"/>
    <cellStyle name="SAPDataTotalCell" xfId="75" xr:uid="{594728E4-5BCF-4F44-AC53-38DAAB7C9D82}"/>
    <cellStyle name="SAPDimensionCell" xfId="76" xr:uid="{22A82CD6-E7D7-42BA-9259-D47FF8A498C9}"/>
    <cellStyle name="SAPDimensionCell 2" xfId="77" xr:uid="{88E0F25F-1E79-4468-816C-6A3D981DB046}"/>
    <cellStyle name="SAPEditableDataCell" xfId="78" xr:uid="{524D23FD-0EF7-42D3-9C5A-5FA6E173EA25}"/>
    <cellStyle name="SAPEditableDataCell 2" xfId="79" xr:uid="{8E0C72A9-5AF1-4FB6-8EB0-D8C91B5D3CE3}"/>
    <cellStyle name="SAPEditableDataTotalCell" xfId="80" xr:uid="{6D317C4F-0D7D-41A7-9CD1-B12E4C757B72}"/>
    <cellStyle name="SAPEditableDataTotalCell 2" xfId="81" xr:uid="{6576FBCE-BECF-4864-A24F-843C40F93066}"/>
    <cellStyle name="SAPEmphasized" xfId="82" xr:uid="{BF719750-D7EF-4EDC-AE2D-0B1E5D8C002C}"/>
    <cellStyle name="SAPEmphasized 2" xfId="83" xr:uid="{D95C8AC3-4608-406F-A9D4-92511D5D25AC}"/>
    <cellStyle name="SAPEmphasized 3" xfId="84" xr:uid="{6C478834-3077-4AC2-BE00-AB33DF99C045}"/>
    <cellStyle name="SAPEmphasizedEditableDataCell" xfId="85" xr:uid="{A2D9BF0E-074B-44B2-A145-8C88B5A5D2F5}"/>
    <cellStyle name="SAPEmphasizedEditableDataCell 2" xfId="86" xr:uid="{47389ABD-8450-4931-9F85-FD9BCD072C99}"/>
    <cellStyle name="SAPEmphasizedEditableDataTotalCell" xfId="87" xr:uid="{85200959-FE6E-4816-8921-FA456F773A9D}"/>
    <cellStyle name="SAPEmphasizedEditableDataTotalCell 2" xfId="88" xr:uid="{37B040F9-3420-4A15-B795-00AA1E3AB10A}"/>
    <cellStyle name="SAPEmphasizedLockedDataCell" xfId="89" xr:uid="{B02B800B-FDDF-47B3-8B5C-BAE855E2944F}"/>
    <cellStyle name="SAPEmphasizedLockedDataCell 2" xfId="90" xr:uid="{F338FB8F-AE73-406A-9660-4B5F94438838}"/>
    <cellStyle name="SAPEmphasizedLockedDataTotalCell" xfId="91" xr:uid="{F7D704CD-EDBF-4EA8-B8BE-2D87BAD8B863}"/>
    <cellStyle name="SAPEmphasizedLockedDataTotalCell 2" xfId="92" xr:uid="{29579165-4D4A-4A98-BDF1-82F3B1C78AA5}"/>
    <cellStyle name="SAPEmphasizedReadonlyDataCell" xfId="93" xr:uid="{3D373C1F-7FF8-46D3-96E2-8F956B0F3008}"/>
    <cellStyle name="SAPEmphasizedReadonlyDataCell 2" xfId="94" xr:uid="{8F932004-53A9-47B9-8F91-AADE7387CC1D}"/>
    <cellStyle name="SAPEmphasizedReadonlyDataTotalCell" xfId="95" xr:uid="{52404BDB-CACA-4621-BC95-139C8AC8C38D}"/>
    <cellStyle name="SAPEmphasizedTotal" xfId="96" xr:uid="{7032F369-9E49-43BB-8190-66A47C4D9CC9}"/>
    <cellStyle name="SAPEmphasizedTotal 2" xfId="97" xr:uid="{2E40A404-0262-42B4-99AA-FA8CCD811067}"/>
    <cellStyle name="SAPEmphasizedTotal 3" xfId="98" xr:uid="{A3DD5988-73E5-4D32-9458-1B35935B3DD9}"/>
    <cellStyle name="SAPExceptionLevel1" xfId="99" xr:uid="{0BC2FFBC-1F1A-4ED3-AB43-51EE165CDD7A}"/>
    <cellStyle name="SAPExceptionLevel1 2" xfId="100" xr:uid="{0E98AD7D-B7DA-4D61-89B0-0616E2C55422}"/>
    <cellStyle name="SAPExceptionLevel2" xfId="101" xr:uid="{0C509197-CB56-4245-9C2B-413D03642261}"/>
    <cellStyle name="SAPExceptionLevel2 2" xfId="102" xr:uid="{073D4578-07A6-49A8-9BC7-58FE0DCA29CB}"/>
    <cellStyle name="SAPExceptionLevel3" xfId="103" xr:uid="{71952F6A-A7FE-4CF1-8A38-AC86569360D3}"/>
    <cellStyle name="SAPExceptionLevel3 2" xfId="104" xr:uid="{78401E78-B027-4CCF-8073-93606429D716}"/>
    <cellStyle name="SAPExceptionLevel4" xfId="105" xr:uid="{1D512398-8F97-44FF-A282-511BF3E4C5CF}"/>
    <cellStyle name="SAPExceptionLevel4 2" xfId="106" xr:uid="{D7FA612F-52EB-454A-BF63-96CACC47587C}"/>
    <cellStyle name="SAPExceptionLevel5" xfId="107" xr:uid="{03004823-4BF4-4EC3-BA9F-4A097C7D4136}"/>
    <cellStyle name="SAPExceptionLevel5 2" xfId="108" xr:uid="{8EDB4E62-5F10-4EA1-99E0-DD20B9ACBC25}"/>
    <cellStyle name="SAPExceptionLevel6" xfId="109" xr:uid="{90427216-4E4E-46B7-97DB-68E8E0777ACF}"/>
    <cellStyle name="SAPExceptionLevel6 2" xfId="110" xr:uid="{085950CD-C867-4B0E-BCB4-80C9ED5CB7AC}"/>
    <cellStyle name="SAPExceptionLevel7" xfId="111" xr:uid="{8180EE86-5ABE-4671-87B3-BD7DCEB71F56}"/>
    <cellStyle name="SAPExceptionLevel7 2" xfId="112" xr:uid="{9322AC17-E9A5-4B81-A585-EDDED7EED8FB}"/>
    <cellStyle name="SAPExceptionLevel8" xfId="113" xr:uid="{CAC00B3C-357F-459A-B61B-D1001B89F5F4}"/>
    <cellStyle name="SAPExceptionLevel8 2" xfId="114" xr:uid="{DF1A9C14-8F3F-490A-BFB6-86FA8366DD81}"/>
    <cellStyle name="SAPExceptionLevel9" xfId="115" xr:uid="{D4A59B84-0134-423C-BE80-DAF9FAED6D71}"/>
    <cellStyle name="SAPExceptionLevel9 2" xfId="116" xr:uid="{F5F9098C-0BF1-410D-9EDA-E26957181C67}"/>
    <cellStyle name="SAPHierarchyCell0" xfId="117" xr:uid="{0A257180-013A-40BA-8342-DD1B7B9270D4}"/>
    <cellStyle name="SAPHierarchyCell0 2" xfId="118" xr:uid="{798CC546-ECDD-4281-BB70-47EF5136B456}"/>
    <cellStyle name="SAPHierarchyCell1" xfId="119" xr:uid="{EC127281-6AC4-4E23-802B-CA3F429D064B}"/>
    <cellStyle name="SAPHierarchyCell1 2" xfId="120" xr:uid="{7FF79DE5-45BE-4BE1-B941-74DA222EF1CE}"/>
    <cellStyle name="SAPHierarchyCell2" xfId="121" xr:uid="{A0DD43E5-DD84-4672-AE70-526F0AE69931}"/>
    <cellStyle name="SAPHierarchyCell2 2" xfId="122" xr:uid="{1694F406-41EF-48EE-9218-0923E79CC7F0}"/>
    <cellStyle name="SAPHierarchyCell3" xfId="123" xr:uid="{BA33FC00-29F5-4FCC-BAAE-66849CE0D63B}"/>
    <cellStyle name="SAPHierarchyCell3 2" xfId="124" xr:uid="{56C3E179-E9AA-4F68-8AE7-E74BD1AB62D1}"/>
    <cellStyle name="SAPHierarchyCell4" xfId="125" xr:uid="{6AD67910-3F4A-4742-A848-83CE3C3F66FC}"/>
    <cellStyle name="SAPHierarchyCell4 2" xfId="126" xr:uid="{04892F73-CC02-418A-BE54-42194C578C93}"/>
    <cellStyle name="SAPLockedDataCell" xfId="127" xr:uid="{518BBCEE-2AFA-47D2-B176-D769AFB439CD}"/>
    <cellStyle name="SAPLockedDataCell 2" xfId="128" xr:uid="{D109644A-6616-41B0-8C30-D4C7C130DE35}"/>
    <cellStyle name="SAPLockedDataTotalCell" xfId="129" xr:uid="{D721AF03-3786-4544-9D57-9EE7FA410CDA}"/>
    <cellStyle name="SAPLockedDataTotalCell 2" xfId="130" xr:uid="{902090C2-7FE5-497D-8488-DD363E35AE4A}"/>
    <cellStyle name="SAPMemberCell" xfId="131" xr:uid="{06F5255B-5EFA-4524-B4F9-3216D6ED022F}"/>
    <cellStyle name="SAPMemberTotalCell" xfId="132" xr:uid="{BFAB176B-0718-4DA9-8F2D-6581A720074D}"/>
    <cellStyle name="SAPMemberTotalCell 2" xfId="133" xr:uid="{D2FE0208-76CF-499E-8B94-555675FF5F54}"/>
    <cellStyle name="SAPReadonlyDataCell" xfId="134" xr:uid="{4A778371-F1F8-471F-AD53-95A84B8AC20F}"/>
    <cellStyle name="SAPReadonlyDataCell 2" xfId="135" xr:uid="{7863DDD8-0427-4716-B079-DAA194C98ED9}"/>
    <cellStyle name="SAPReadonlyDataTotalCell" xfId="136" xr:uid="{8DF63137-C908-4564-98E1-C80B45D0FE87}"/>
    <cellStyle name="Title 2" xfId="137" xr:uid="{B75E8BE0-6284-4ECD-98F2-F8486688FFAA}"/>
    <cellStyle name="Total 2" xfId="138" xr:uid="{B9E5ED36-195D-498E-AE99-3C92A179EDEB}"/>
    <cellStyle name="Warning Text 2" xfId="139" xr:uid="{3D2A3DB2-51AB-4BD0-9453-39635423EC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4</xdr:col>
      <xdr:colOff>19050</xdr:colOff>
      <xdr:row>1</xdr:row>
      <xdr:rowOff>142875</xdr:rowOff>
    </xdr:from>
    <xdr:to>
      <xdr:col>7</xdr:col>
      <xdr:colOff>600075</xdr:colOff>
      <xdr:row>6</xdr:row>
      <xdr:rowOff>161925</xdr:rowOff>
    </xdr:to>
    <xdr:pic>
      <xdr:nvPicPr>
        <xdr:cNvPr id="2" name="Picture 1">
          <a:extLst>
            <a:ext uri="{FF2B5EF4-FFF2-40B4-BE49-F238E27FC236}">
              <a16:creationId xmlns:a16="http://schemas.microsoft.com/office/drawing/2014/main" id="{0A6CFF02-CAF6-1D28-5AC7-D01E03B773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57450" y="333375"/>
          <a:ext cx="1733550" cy="990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66675</xdr:colOff>
      <xdr:row>1</xdr:row>
      <xdr:rowOff>133350</xdr:rowOff>
    </xdr:from>
    <xdr:to>
      <xdr:col>5</xdr:col>
      <xdr:colOff>942975</xdr:colOff>
      <xdr:row>5</xdr:row>
      <xdr:rowOff>219076</xdr:rowOff>
    </xdr:to>
    <xdr:pic>
      <xdr:nvPicPr>
        <xdr:cNvPr id="4" name="Picture 3">
          <a:extLst>
            <a:ext uri="{FF2B5EF4-FFF2-40B4-BE49-F238E27FC236}">
              <a16:creationId xmlns:a16="http://schemas.microsoft.com/office/drawing/2014/main" id="{03F1C222-AA7D-4818-9415-2CD9F2D88315}"/>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866"/>
        <a:stretch/>
      </xdr:blipFill>
      <xdr:spPr bwMode="auto">
        <a:xfrm>
          <a:off x="1895475" y="361950"/>
          <a:ext cx="1514475" cy="962025"/>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3</xdr:col>
      <xdr:colOff>38100</xdr:colOff>
      <xdr:row>46</xdr:row>
      <xdr:rowOff>0</xdr:rowOff>
    </xdr:from>
    <xdr:to>
      <xdr:col>5</xdr:col>
      <xdr:colOff>914400</xdr:colOff>
      <xdr:row>51</xdr:row>
      <xdr:rowOff>142875</xdr:rowOff>
    </xdr:to>
    <xdr:pic>
      <xdr:nvPicPr>
        <xdr:cNvPr id="5" name="Picture 4">
          <a:extLst>
            <a:ext uri="{FF2B5EF4-FFF2-40B4-BE49-F238E27FC236}">
              <a16:creationId xmlns:a16="http://schemas.microsoft.com/office/drawing/2014/main" id="{24E03CF3-D878-4F2C-83E2-C0DD3886AA16}"/>
            </a:ext>
          </a:extLst>
        </xdr:cNvPr>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2866"/>
        <a:stretch/>
      </xdr:blipFill>
      <xdr:spPr bwMode="auto">
        <a:xfrm>
          <a:off x="1866900" y="14725650"/>
          <a:ext cx="1514475" cy="1095375"/>
        </a:xfrm>
        <a:prstGeom prst="rect">
          <a:avLst/>
        </a:prstGeom>
        <a:ln>
          <a:noFill/>
        </a:ln>
        <a:extLst>
          <a:ext uri="{53640926-AAD7-44D8-BBD7-CCE9431645EC}">
            <a14:shadowObscured xmlns:a14="http://schemas.microsoft.com/office/drawing/2010/main"/>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66675</xdr:colOff>
      <xdr:row>1</xdr:row>
      <xdr:rowOff>133350</xdr:rowOff>
    </xdr:from>
    <xdr:to>
      <xdr:col>5</xdr:col>
      <xdr:colOff>942975</xdr:colOff>
      <xdr:row>5</xdr:row>
      <xdr:rowOff>219076</xdr:rowOff>
    </xdr:to>
    <xdr:pic>
      <xdr:nvPicPr>
        <xdr:cNvPr id="2" name="Picture 1">
          <a:extLst>
            <a:ext uri="{FF2B5EF4-FFF2-40B4-BE49-F238E27FC236}">
              <a16:creationId xmlns:a16="http://schemas.microsoft.com/office/drawing/2014/main" id="{77122AA7-F2DE-4B06-98F6-AC327FE61182}"/>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866"/>
        <a:stretch/>
      </xdr:blipFill>
      <xdr:spPr bwMode="auto">
        <a:xfrm>
          <a:off x="1990725" y="482600"/>
          <a:ext cx="1543050" cy="955676"/>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3</xdr:col>
      <xdr:colOff>38100</xdr:colOff>
      <xdr:row>44</xdr:row>
      <xdr:rowOff>0</xdr:rowOff>
    </xdr:from>
    <xdr:to>
      <xdr:col>5</xdr:col>
      <xdr:colOff>914400</xdr:colOff>
      <xdr:row>49</xdr:row>
      <xdr:rowOff>142875</xdr:rowOff>
    </xdr:to>
    <xdr:pic>
      <xdr:nvPicPr>
        <xdr:cNvPr id="3" name="Picture 2">
          <a:extLst>
            <a:ext uri="{FF2B5EF4-FFF2-40B4-BE49-F238E27FC236}">
              <a16:creationId xmlns:a16="http://schemas.microsoft.com/office/drawing/2014/main" id="{2CEB2519-564C-4A69-A78B-3DABEE6EB586}"/>
            </a:ext>
          </a:extLst>
        </xdr:cNvPr>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2866"/>
        <a:stretch/>
      </xdr:blipFill>
      <xdr:spPr bwMode="auto">
        <a:xfrm>
          <a:off x="1962150" y="14655800"/>
          <a:ext cx="1543050" cy="1063626"/>
        </a:xfrm>
        <a:prstGeom prst="rect">
          <a:avLst/>
        </a:prstGeom>
        <a:ln>
          <a:noFill/>
        </a:ln>
        <a:extLst>
          <a:ext uri="{53640926-AAD7-44D8-BBD7-CCE9431645EC}">
            <a14:shadowObscured xmlns:a14="http://schemas.microsoft.com/office/drawing/2010/main"/>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66675</xdr:colOff>
      <xdr:row>1</xdr:row>
      <xdr:rowOff>133350</xdr:rowOff>
    </xdr:from>
    <xdr:to>
      <xdr:col>5</xdr:col>
      <xdr:colOff>942975</xdr:colOff>
      <xdr:row>5</xdr:row>
      <xdr:rowOff>219076</xdr:rowOff>
    </xdr:to>
    <xdr:pic>
      <xdr:nvPicPr>
        <xdr:cNvPr id="2" name="Picture 1">
          <a:extLst>
            <a:ext uri="{FF2B5EF4-FFF2-40B4-BE49-F238E27FC236}">
              <a16:creationId xmlns:a16="http://schemas.microsoft.com/office/drawing/2014/main" id="{68FDFCFB-4DE0-41AB-A95C-496ACA10BCF3}"/>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866"/>
        <a:stretch/>
      </xdr:blipFill>
      <xdr:spPr bwMode="auto">
        <a:xfrm>
          <a:off x="1990725" y="482600"/>
          <a:ext cx="1543050" cy="955676"/>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3</xdr:col>
      <xdr:colOff>38100</xdr:colOff>
      <xdr:row>46</xdr:row>
      <xdr:rowOff>0</xdr:rowOff>
    </xdr:from>
    <xdr:to>
      <xdr:col>5</xdr:col>
      <xdr:colOff>914400</xdr:colOff>
      <xdr:row>51</xdr:row>
      <xdr:rowOff>142875</xdr:rowOff>
    </xdr:to>
    <xdr:pic>
      <xdr:nvPicPr>
        <xdr:cNvPr id="3" name="Picture 2">
          <a:extLst>
            <a:ext uri="{FF2B5EF4-FFF2-40B4-BE49-F238E27FC236}">
              <a16:creationId xmlns:a16="http://schemas.microsoft.com/office/drawing/2014/main" id="{F190AEE2-ABD9-4157-98CA-02F4C32A240B}"/>
            </a:ext>
          </a:extLst>
        </xdr:cNvPr>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2866"/>
        <a:stretch/>
      </xdr:blipFill>
      <xdr:spPr bwMode="auto">
        <a:xfrm>
          <a:off x="1962150" y="14751050"/>
          <a:ext cx="1543050" cy="1063625"/>
        </a:xfrm>
        <a:prstGeom prst="rect">
          <a:avLst/>
        </a:prstGeom>
        <a:ln>
          <a:noFill/>
        </a:ln>
        <a:extLst>
          <a:ext uri="{53640926-AAD7-44D8-BBD7-CCE9431645EC}">
            <a14:shadowObscured xmlns:a14="http://schemas.microsoft.com/office/drawing/2010/main"/>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66675</xdr:colOff>
      <xdr:row>1</xdr:row>
      <xdr:rowOff>133350</xdr:rowOff>
    </xdr:from>
    <xdr:to>
      <xdr:col>5</xdr:col>
      <xdr:colOff>942975</xdr:colOff>
      <xdr:row>5</xdr:row>
      <xdr:rowOff>219076</xdr:rowOff>
    </xdr:to>
    <xdr:pic>
      <xdr:nvPicPr>
        <xdr:cNvPr id="2" name="Picture 1">
          <a:extLst>
            <a:ext uri="{FF2B5EF4-FFF2-40B4-BE49-F238E27FC236}">
              <a16:creationId xmlns:a16="http://schemas.microsoft.com/office/drawing/2014/main" id="{67F7A90D-E6DC-4943-9FED-D05588A04974}"/>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866"/>
        <a:stretch/>
      </xdr:blipFill>
      <xdr:spPr bwMode="auto">
        <a:xfrm>
          <a:off x="1990725" y="482600"/>
          <a:ext cx="1543050" cy="955676"/>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3</xdr:col>
      <xdr:colOff>38100</xdr:colOff>
      <xdr:row>44</xdr:row>
      <xdr:rowOff>0</xdr:rowOff>
    </xdr:from>
    <xdr:to>
      <xdr:col>5</xdr:col>
      <xdr:colOff>914400</xdr:colOff>
      <xdr:row>49</xdr:row>
      <xdr:rowOff>142875</xdr:rowOff>
    </xdr:to>
    <xdr:pic>
      <xdr:nvPicPr>
        <xdr:cNvPr id="3" name="Picture 2">
          <a:extLst>
            <a:ext uri="{FF2B5EF4-FFF2-40B4-BE49-F238E27FC236}">
              <a16:creationId xmlns:a16="http://schemas.microsoft.com/office/drawing/2014/main" id="{6379DB62-6CC5-4FAE-B4DA-4465D9AEDDE7}"/>
            </a:ext>
          </a:extLst>
        </xdr:cNvPr>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2866"/>
        <a:stretch/>
      </xdr:blipFill>
      <xdr:spPr bwMode="auto">
        <a:xfrm>
          <a:off x="1962150" y="15259050"/>
          <a:ext cx="1543050" cy="1063625"/>
        </a:xfrm>
        <a:prstGeom prst="rect">
          <a:avLst/>
        </a:prstGeom>
        <a:ln>
          <a:noFill/>
        </a:ln>
        <a:extLst>
          <a:ext uri="{53640926-AAD7-44D8-BBD7-CCE9431645EC}">
            <a14:shadowObscured xmlns:a14="http://schemas.microsoft.com/office/drawing/2010/main"/>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3</xdr:col>
      <xdr:colOff>38100</xdr:colOff>
      <xdr:row>3</xdr:row>
      <xdr:rowOff>0</xdr:rowOff>
    </xdr:from>
    <xdr:ext cx="1514475" cy="1095375"/>
    <xdr:pic>
      <xdr:nvPicPr>
        <xdr:cNvPr id="4" name="Picture 3">
          <a:extLst>
            <a:ext uri="{FF2B5EF4-FFF2-40B4-BE49-F238E27FC236}">
              <a16:creationId xmlns:a16="http://schemas.microsoft.com/office/drawing/2014/main" id="{CC628CA3-7CE0-4826-8C92-83D64C4D5153}"/>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866"/>
        <a:stretch/>
      </xdr:blipFill>
      <xdr:spPr bwMode="auto">
        <a:xfrm>
          <a:off x="1866900" y="30337125"/>
          <a:ext cx="1514475" cy="1095375"/>
        </a:xfrm>
        <a:prstGeom prst="rect">
          <a:avLst/>
        </a:prstGeom>
        <a:ln>
          <a:noFill/>
        </a:ln>
        <a:extLst>
          <a:ext uri="{53640926-AAD7-44D8-BBD7-CCE9431645EC}">
            <a14:shadowObscured xmlns:a14="http://schemas.microsoft.com/office/drawing/2010/main"/>
          </a:ext>
        </a:extLst>
      </xdr:spPr>
    </xdr:pic>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40900036_adani_in/Documents/SCRAP%20DIV%20FILES/LOADING%20DETAIL%202025-26.xlsx" TargetMode="External"/><Relationship Id="rId2" Type="http://schemas.openxmlformats.org/officeDocument/2006/relationships/externalLinkPath" Target="https://adanio365csp-my.sharepoint.com/personal/40900036_adani_in/Documents/SCRAP%20DIV%20FILES/LOADING%20DETAIL%202025-26.xlsx" TargetMode="External"/><Relationship Id="rId1" Type="http://schemas.openxmlformats.org/officeDocument/2006/relationships/externalLinkPath" Target="/personal/40900036_adani_in/Documents/SCRAP%20DIV%20FILES/LOADING%20DETAIL%202025-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BPxNtmF1mkCTbUQB-352KTSsMsEveAJBj4i0ZkucArOKMhhPbON4TZYx-AuZlXHZ" itemId="01MN2F6VV5ANUJ5RZLVRFYELYG64CIMKS6">
      <xxl21:absoluteUrl r:id="rId2"/>
      <xxl21:relativeUrl r:id="rId3"/>
    </xxl21:alternateUrls>
    <sheetNames>
      <sheetName val="2025-26"/>
      <sheetName val="Sheet1"/>
      <sheetName val="Sheet2"/>
      <sheetName val="Sheet3"/>
      <sheetName val="2026-27"/>
    </sheetNames>
    <sheetDataSet>
      <sheetData sheetId="0">
        <row r="1">
          <cell r="B1" t="str">
            <v>CS NO.</v>
          </cell>
        </row>
      </sheetData>
      <sheetData sheetId="1"/>
      <sheetData sheetId="2"/>
      <sheetData sheetId="3"/>
      <sheetData sheetId="4">
        <row r="1">
          <cell r="B1" t="str">
            <v>CS NO.</v>
          </cell>
          <cell r="O1" t="str">
            <v>CONTRACT</v>
          </cell>
          <cell r="U1" t="str">
            <v>QTY</v>
          </cell>
        </row>
        <row r="2">
          <cell r="O2"/>
          <cell r="U2"/>
        </row>
        <row r="3">
          <cell r="O3"/>
          <cell r="U3"/>
        </row>
        <row r="4">
          <cell r="O4"/>
          <cell r="U4"/>
        </row>
        <row r="5">
          <cell r="O5"/>
          <cell r="U5"/>
        </row>
        <row r="6">
          <cell r="O6"/>
          <cell r="U6"/>
        </row>
        <row r="7">
          <cell r="O7"/>
          <cell r="U7"/>
        </row>
        <row r="8">
          <cell r="O8"/>
          <cell r="U8"/>
        </row>
        <row r="9">
          <cell r="O9"/>
          <cell r="U9"/>
        </row>
        <row r="10">
          <cell r="O10"/>
          <cell r="U10"/>
        </row>
        <row r="11">
          <cell r="O11"/>
          <cell r="U11"/>
        </row>
        <row r="12">
          <cell r="O12"/>
          <cell r="U12"/>
        </row>
        <row r="13">
          <cell r="O13"/>
          <cell r="U13"/>
        </row>
        <row r="14">
          <cell r="O14" t="str">
            <v>S/AGFZE/CU/MIP/303/2025-26</v>
          </cell>
          <cell r="U14"/>
        </row>
        <row r="15">
          <cell r="O15" t="str">
            <v>S/AGFZE/CU/MIP/303/2025-26</v>
          </cell>
          <cell r="U15"/>
        </row>
        <row r="16">
          <cell r="O16"/>
          <cell r="U16"/>
        </row>
        <row r="17">
          <cell r="O17"/>
          <cell r="U17"/>
        </row>
        <row r="18">
          <cell r="O18"/>
          <cell r="U18"/>
        </row>
        <row r="19">
          <cell r="O19"/>
          <cell r="U19"/>
        </row>
        <row r="20">
          <cell r="O20"/>
          <cell r="U20"/>
        </row>
        <row r="21">
          <cell r="O21"/>
          <cell r="U21"/>
        </row>
        <row r="22">
          <cell r="O22"/>
          <cell r="U22"/>
        </row>
        <row r="23">
          <cell r="O23"/>
          <cell r="U23"/>
        </row>
        <row r="24">
          <cell r="O24"/>
          <cell r="U24"/>
        </row>
        <row r="25">
          <cell r="O25"/>
          <cell r="U25"/>
        </row>
        <row r="26">
          <cell r="O26"/>
          <cell r="U26"/>
        </row>
        <row r="27">
          <cell r="O27"/>
          <cell r="U27"/>
        </row>
        <row r="28">
          <cell r="O28"/>
          <cell r="U28"/>
        </row>
        <row r="29">
          <cell r="O29"/>
          <cell r="U29"/>
        </row>
        <row r="30">
          <cell r="O30"/>
          <cell r="U30"/>
        </row>
        <row r="31">
          <cell r="O31"/>
          <cell r="U31"/>
        </row>
        <row r="32">
          <cell r="O32"/>
          <cell r="U32"/>
        </row>
        <row r="33">
          <cell r="O33"/>
          <cell r="U33"/>
        </row>
        <row r="34">
          <cell r="O34"/>
          <cell r="U34"/>
        </row>
        <row r="35">
          <cell r="O35"/>
          <cell r="U35"/>
        </row>
        <row r="36">
          <cell r="O36"/>
          <cell r="U36"/>
        </row>
        <row r="37">
          <cell r="O37"/>
          <cell r="U37"/>
        </row>
        <row r="38">
          <cell r="O38"/>
          <cell r="U38"/>
        </row>
        <row r="39">
          <cell r="O39"/>
          <cell r="U39"/>
        </row>
        <row r="40">
          <cell r="O40"/>
          <cell r="U40"/>
        </row>
        <row r="41">
          <cell r="O41"/>
          <cell r="U41"/>
        </row>
        <row r="42">
          <cell r="O42"/>
          <cell r="U42"/>
        </row>
        <row r="43">
          <cell r="O43"/>
          <cell r="U43"/>
        </row>
        <row r="44">
          <cell r="O44"/>
          <cell r="U44"/>
        </row>
        <row r="45">
          <cell r="O45" t="str">
            <v>S/AGFZE/CU/MIP/611/2025-26</v>
          </cell>
          <cell r="U45">
            <v>25.62</v>
          </cell>
        </row>
        <row r="46">
          <cell r="O46" t="str">
            <v>S/AGFZE/CU/MIP/611/2025-26</v>
          </cell>
          <cell r="U46">
            <v>24.54</v>
          </cell>
        </row>
        <row r="47">
          <cell r="O47" t="str">
            <v>S/AGFZE/CU/SSG/626/2025-26</v>
          </cell>
          <cell r="U47">
            <v>26</v>
          </cell>
        </row>
        <row r="48">
          <cell r="O48"/>
          <cell r="U48"/>
        </row>
        <row r="49">
          <cell r="O49"/>
          <cell r="U49"/>
        </row>
        <row r="50">
          <cell r="O50"/>
          <cell r="U50"/>
        </row>
        <row r="51">
          <cell r="O51"/>
          <cell r="U51"/>
        </row>
        <row r="52">
          <cell r="O52"/>
          <cell r="U52"/>
        </row>
        <row r="53">
          <cell r="O53"/>
          <cell r="U53"/>
        </row>
        <row r="54">
          <cell r="O54"/>
          <cell r="U54"/>
        </row>
        <row r="55">
          <cell r="O55"/>
          <cell r="U55"/>
        </row>
        <row r="56">
          <cell r="O56"/>
          <cell r="U56"/>
        </row>
        <row r="57">
          <cell r="O57"/>
          <cell r="U57"/>
        </row>
        <row r="58">
          <cell r="O58"/>
          <cell r="U58"/>
        </row>
        <row r="59">
          <cell r="O59"/>
          <cell r="U59"/>
        </row>
        <row r="60">
          <cell r="O60"/>
          <cell r="U60"/>
        </row>
        <row r="61">
          <cell r="O61"/>
          <cell r="U61"/>
        </row>
        <row r="62">
          <cell r="O62"/>
          <cell r="U62"/>
        </row>
        <row r="63">
          <cell r="O63"/>
          <cell r="U63"/>
        </row>
        <row r="64">
          <cell r="O64"/>
          <cell r="U64"/>
        </row>
        <row r="65">
          <cell r="O65"/>
          <cell r="U65"/>
        </row>
        <row r="66">
          <cell r="O66"/>
          <cell r="U66"/>
        </row>
        <row r="67">
          <cell r="O67"/>
          <cell r="U67"/>
        </row>
        <row r="68">
          <cell r="O68"/>
          <cell r="U68"/>
        </row>
        <row r="69">
          <cell r="O69"/>
          <cell r="U69"/>
        </row>
        <row r="70">
          <cell r="O70"/>
          <cell r="U70"/>
        </row>
        <row r="71">
          <cell r="O71"/>
          <cell r="U71"/>
        </row>
        <row r="72">
          <cell r="O72"/>
          <cell r="U72"/>
        </row>
        <row r="73">
          <cell r="O73"/>
          <cell r="U73"/>
        </row>
        <row r="74">
          <cell r="O74"/>
          <cell r="U74"/>
        </row>
        <row r="75">
          <cell r="O75"/>
          <cell r="U75"/>
        </row>
        <row r="76">
          <cell r="O76"/>
          <cell r="U76"/>
        </row>
        <row r="77">
          <cell r="O77" t="str">
            <v>S/AGFZE/CU/RRW/171/2025-26</v>
          </cell>
          <cell r="U77"/>
        </row>
        <row r="78">
          <cell r="O78" t="str">
            <v>S/AGFZE/CU/RRW/171/2025-26</v>
          </cell>
          <cell r="U78"/>
        </row>
        <row r="79">
          <cell r="O79" t="str">
            <v>S/AGFZE/CU/AMT/002/2025-26</v>
          </cell>
          <cell r="U79">
            <v>27.204999999999998</v>
          </cell>
        </row>
        <row r="80">
          <cell r="O80" t="str">
            <v>S/AGFZE/CU/AMT/002/2025-26</v>
          </cell>
          <cell r="U80">
            <v>27.13</v>
          </cell>
        </row>
        <row r="81">
          <cell r="O81"/>
          <cell r="U81"/>
        </row>
        <row r="82">
          <cell r="O82"/>
          <cell r="U82"/>
        </row>
        <row r="83">
          <cell r="O83" t="str">
            <v>S/AGFZE/CU/MIP/515/2025-26</v>
          </cell>
          <cell r="U83">
            <v>19.34</v>
          </cell>
        </row>
        <row r="84">
          <cell r="O84" t="str">
            <v>S/AGFZE/CU/BCP/580/2025-26</v>
          </cell>
          <cell r="U84">
            <v>20.61</v>
          </cell>
        </row>
        <row r="85">
          <cell r="O85" t="str">
            <v>S/AGFZE/CU/BCP/580/2025-26</v>
          </cell>
          <cell r="U85">
            <v>20.094000000000001</v>
          </cell>
        </row>
        <row r="86">
          <cell r="O86" t="str">
            <v>S/AGFZE/CU/BCP/580/2025-26</v>
          </cell>
          <cell r="U86">
            <v>21.81</v>
          </cell>
        </row>
        <row r="87">
          <cell r="O87" t="str">
            <v>S/AGFZE/CU/BCP/580/2025-26</v>
          </cell>
          <cell r="U87">
            <v>21.32</v>
          </cell>
        </row>
        <row r="88">
          <cell r="O88" t="str">
            <v>S/AGFZE/CU/BCP/580/2025-26</v>
          </cell>
          <cell r="U88">
            <v>22.32</v>
          </cell>
        </row>
        <row r="89">
          <cell r="O89" t="str">
            <v>S/AGFZE/CU/BCP/580/2025-26</v>
          </cell>
          <cell r="U89">
            <v>24.08</v>
          </cell>
        </row>
        <row r="90">
          <cell r="O90" t="str">
            <v>S/AGFZE/CU/RRW/641/2025-26</v>
          </cell>
          <cell r="U90"/>
        </row>
        <row r="91">
          <cell r="O91" t="str">
            <v>S/AGFZE/CU/RRW/641/2025-26</v>
          </cell>
          <cell r="U91"/>
        </row>
        <row r="92">
          <cell r="O92" t="str">
            <v>S/AGFZE/CU/SAP/613/2025-26</v>
          </cell>
          <cell r="U92">
            <v>19.149999999999999</v>
          </cell>
        </row>
        <row r="93">
          <cell r="O93" t="str">
            <v>S/AGFZE/CU/SAP/613/2025-26</v>
          </cell>
          <cell r="U93">
            <v>19.22</v>
          </cell>
        </row>
        <row r="94">
          <cell r="O94" t="str">
            <v>S/AGFZE/CU/SAP/613/2025-26</v>
          </cell>
          <cell r="U94"/>
        </row>
        <row r="95">
          <cell r="O95" t="str">
            <v>S/AGFZE/CU/SAP/613/2025-26</v>
          </cell>
          <cell r="U95"/>
        </row>
        <row r="96">
          <cell r="O96" t="str">
            <v>S/AGFZE/CU/SAP/613/2025-26</v>
          </cell>
          <cell r="U96"/>
        </row>
        <row r="97">
          <cell r="O97" t="str">
            <v>S/AGFZE/PB/YRR/604/2025-26</v>
          </cell>
          <cell r="U97">
            <v>22.88</v>
          </cell>
        </row>
        <row r="98">
          <cell r="O98" t="str">
            <v>S/AGFZE/PB/YRR/604/2025-26</v>
          </cell>
          <cell r="U98">
            <v>24.58</v>
          </cell>
        </row>
        <row r="99">
          <cell r="O99" t="str">
            <v>S/AGFZE/PB/YRR/604/2025-26</v>
          </cell>
          <cell r="U99">
            <v>23.594999999999999</v>
          </cell>
        </row>
        <row r="100">
          <cell r="O100" t="str">
            <v>S/AGFZE/PB/YRR/604/2025-26</v>
          </cell>
          <cell r="U100">
            <v>25.585000000000001</v>
          </cell>
        </row>
        <row r="101">
          <cell r="O101" t="str">
            <v>S/AGFZE/PB/YRR/604/2025-26</v>
          </cell>
          <cell r="U101">
            <v>21.82</v>
          </cell>
        </row>
        <row r="102">
          <cell r="O102" t="str">
            <v>S/AGFZE/PB/YRR/604/2025-26</v>
          </cell>
          <cell r="U102">
            <v>24.315000000000001</v>
          </cell>
        </row>
        <row r="103">
          <cell r="O103" t="str">
            <v>S/AGFZE/PB/YRR/604/2025-26</v>
          </cell>
          <cell r="U103">
            <v>24.105</v>
          </cell>
        </row>
        <row r="104">
          <cell r="O104" t="str">
            <v>S/AGFZE/PB/YRR/604/2025-26</v>
          </cell>
          <cell r="U104">
            <v>23.475000000000001</v>
          </cell>
        </row>
        <row r="105">
          <cell r="O105" t="str">
            <v>S/AGFZE/PB/YRR/604/2025-26</v>
          </cell>
          <cell r="U105">
            <v>23.34</v>
          </cell>
        </row>
        <row r="106">
          <cell r="O106" t="str">
            <v>S/AGFZE/PB/YRR/604/2025-26</v>
          </cell>
          <cell r="U106"/>
        </row>
        <row r="107">
          <cell r="O107" t="str">
            <v>S/AGFZE/PB/YRR/604/2025-26</v>
          </cell>
          <cell r="U107"/>
        </row>
        <row r="108">
          <cell r="O108" t="str">
            <v>S/AGFZE/PB/YRR/604/2025-26</v>
          </cell>
          <cell r="U108"/>
        </row>
        <row r="109">
          <cell r="O109" t="str">
            <v>S/AGFZE/PB/YRR/604/2025-26</v>
          </cell>
          <cell r="U109"/>
        </row>
        <row r="110">
          <cell r="O110" t="str">
            <v>S/AGFZE/PB/YRR/604/2025-26</v>
          </cell>
          <cell r="U110"/>
        </row>
        <row r="111">
          <cell r="O111" t="str">
            <v>S/AGFZE/PB/YRR/604/2025-26</v>
          </cell>
          <cell r="U111"/>
        </row>
        <row r="112">
          <cell r="O112" t="str">
            <v>S/AGFZE/PB/YRR/604/2025-26</v>
          </cell>
          <cell r="U112"/>
        </row>
        <row r="113">
          <cell r="O113" t="str">
            <v>S/AGFZE/PB/YRR/604/2025-26</v>
          </cell>
          <cell r="U113"/>
        </row>
        <row r="114">
          <cell r="O114" t="str">
            <v>S/AGFZE/PB/YRR/604/2025-26</v>
          </cell>
          <cell r="U114"/>
        </row>
        <row r="115">
          <cell r="O115" t="str">
            <v>S/AGFZE/PB/YRR/604/2025-26</v>
          </cell>
          <cell r="U115"/>
        </row>
        <row r="116">
          <cell r="O116" t="str">
            <v>S/AGFZE/PB/YRR/604/2025-26</v>
          </cell>
          <cell r="U116"/>
        </row>
        <row r="117">
          <cell r="O117" t="str">
            <v>S/AGFZE/CUZN/NL/629/2025-26</v>
          </cell>
          <cell r="U117">
            <v>21.818000000000001</v>
          </cell>
        </row>
        <row r="118">
          <cell r="O118" t="str">
            <v>S/AGFZE/CUZN/NL/629/2025-26</v>
          </cell>
          <cell r="U118">
            <v>21.818000000000001</v>
          </cell>
        </row>
        <row r="119">
          <cell r="O119" t="str">
            <v>S/AGFZE/CUZN/NL/629/2025-26</v>
          </cell>
          <cell r="U119">
            <v>21.937999999999999</v>
          </cell>
        </row>
        <row r="120">
          <cell r="O120" t="str">
            <v>S/AGFZE/AL/SMP/639/2025-26</v>
          </cell>
          <cell r="U120">
            <v>18.46</v>
          </cell>
        </row>
        <row r="121">
          <cell r="O121" t="str">
            <v>S/AGFZE/AL/SMP/639/2025-26</v>
          </cell>
          <cell r="U121">
            <v>18.41</v>
          </cell>
        </row>
        <row r="122">
          <cell r="O122" t="str">
            <v>S/AGFZE/CUZN/DSC/675/2025-26</v>
          </cell>
          <cell r="U122">
            <v>23.14</v>
          </cell>
        </row>
        <row r="123">
          <cell r="O123" t="str">
            <v>S/AGFZE/CUZN/DSC/675/2025-26</v>
          </cell>
          <cell r="U123">
            <v>25.49</v>
          </cell>
        </row>
        <row r="124">
          <cell r="O124" t="str">
            <v>S/AGFZE/CUZN/DSC/675/2025-26</v>
          </cell>
          <cell r="U124">
            <v>24.71</v>
          </cell>
        </row>
        <row r="125">
          <cell r="O125" t="str">
            <v>S/AGFZE/CU/DSC/674/2025-26</v>
          </cell>
          <cell r="U125">
            <v>19.239999999999998</v>
          </cell>
        </row>
        <row r="126">
          <cell r="O126" t="str">
            <v>S/AGFZE/CU/DSC/683/2025-26</v>
          </cell>
          <cell r="U126">
            <v>17.75</v>
          </cell>
        </row>
        <row r="127">
          <cell r="O127" t="str">
            <v>S/AGFZE/AL/SMM/688/2025-26</v>
          </cell>
          <cell r="U127">
            <v>17.38</v>
          </cell>
        </row>
        <row r="128">
          <cell r="O128" t="str">
            <v>S/AGFZE/AL/SMM/688/2025-26</v>
          </cell>
          <cell r="U128">
            <v>15.75</v>
          </cell>
        </row>
        <row r="129">
          <cell r="O129" t="str">
            <v>S/AGFZE/CU/JCA/707/2025-26</v>
          </cell>
          <cell r="U129">
            <v>19.309999999999999</v>
          </cell>
        </row>
        <row r="130">
          <cell r="O130" t="str">
            <v>S/AGFZE/CU/RMI/714/2025-26</v>
          </cell>
          <cell r="U130">
            <v>19.37</v>
          </cell>
        </row>
        <row r="131">
          <cell r="O131" t="str">
            <v>S/AGFZE/CU/RMI/714/2025-26</v>
          </cell>
          <cell r="U131">
            <v>19.3</v>
          </cell>
        </row>
        <row r="132">
          <cell r="O132" t="str">
            <v>S/AGFZE/CU/RMI/714/2025-26</v>
          </cell>
          <cell r="U132"/>
        </row>
        <row r="133">
          <cell r="O133" t="str">
            <v>S/AGFZE/CU/RMI/714/2025-26</v>
          </cell>
          <cell r="U133"/>
        </row>
        <row r="134">
          <cell r="O134" t="str">
            <v>S/AGFZE/CU/NL/702/2025-26</v>
          </cell>
          <cell r="U134">
            <v>24.992000000000001</v>
          </cell>
        </row>
        <row r="135">
          <cell r="O135" t="str">
            <v>S/AGFZE/CU/NL/702/2025-26</v>
          </cell>
          <cell r="U135">
            <v>25.052</v>
          </cell>
        </row>
        <row r="136">
          <cell r="O136" t="str">
            <v>S/AGFZE/CU/NH/701/2025-26</v>
          </cell>
          <cell r="U136">
            <v>24.559000000000001</v>
          </cell>
        </row>
        <row r="137">
          <cell r="O137" t="str">
            <v>S/AGFZE/CU/NH/701/2025-26</v>
          </cell>
          <cell r="U137">
            <v>24.559000000000001</v>
          </cell>
        </row>
        <row r="138">
          <cell r="O138" t="str">
            <v>S/AGFZE/CU/DSC/705/2025-26</v>
          </cell>
          <cell r="U138">
            <v>25.42</v>
          </cell>
        </row>
        <row r="139">
          <cell r="O139" t="str">
            <v>S/AGFZE/CU/DSC/705/2025-26</v>
          </cell>
          <cell r="U139">
            <v>25.33</v>
          </cell>
        </row>
        <row r="140">
          <cell r="O140" t="str">
            <v>S/AGFZE/CU/DSC/705/2025-26</v>
          </cell>
          <cell r="U140">
            <v>24.66</v>
          </cell>
        </row>
        <row r="141">
          <cell r="O141" t="str">
            <v>S/AGFZE/CU/DSC/705/2025-26</v>
          </cell>
          <cell r="U141">
            <v>24.2</v>
          </cell>
        </row>
        <row r="142">
          <cell r="O142" t="str">
            <v>S/AGFZE/CU/DSC/705/2025-26</v>
          </cell>
          <cell r="U142">
            <v>24.42</v>
          </cell>
        </row>
        <row r="143">
          <cell r="O143" t="str">
            <v>S/AGFZE/CU/DSC/705/2025-26</v>
          </cell>
          <cell r="U143">
            <v>24.9</v>
          </cell>
        </row>
        <row r="144">
          <cell r="O144" t="str">
            <v>S/AGFZE/CU/DSC/705/2025-26</v>
          </cell>
          <cell r="U144">
            <v>25.58</v>
          </cell>
        </row>
        <row r="145">
          <cell r="O145" t="str">
            <v>S/AGFZE/CU/DSC/705/2025-26</v>
          </cell>
          <cell r="U145">
            <v>25.26</v>
          </cell>
        </row>
        <row r="146">
          <cell r="O146" t="str">
            <v>S/AGFZE/CU/DSC/705/2025-26</v>
          </cell>
          <cell r="U146">
            <v>25.64</v>
          </cell>
        </row>
        <row r="147">
          <cell r="O147" t="str">
            <v>S/AGFZE/CU/DSC/705/2025-26</v>
          </cell>
          <cell r="U147">
            <v>24.36</v>
          </cell>
        </row>
        <row r="148">
          <cell r="O148" t="str">
            <v>S/AGFZE/CU/DSC/705/2025-26</v>
          </cell>
          <cell r="U148">
            <v>24.64</v>
          </cell>
        </row>
        <row r="149">
          <cell r="O149" t="str">
            <v>S/AGFZE/CU/DSC/705/2025-26</v>
          </cell>
          <cell r="U149">
            <v>25.92</v>
          </cell>
        </row>
        <row r="150">
          <cell r="O150" t="str">
            <v>S/AGFZE/CU/DSC/720/2025-26</v>
          </cell>
          <cell r="U150">
            <v>24.52</v>
          </cell>
        </row>
        <row r="151">
          <cell r="O151" t="str">
            <v>S/AGFZE/CU/DSC/720/2025-26</v>
          </cell>
          <cell r="U151">
            <v>24.84</v>
          </cell>
        </row>
        <row r="152">
          <cell r="O152" t="str">
            <v>S/AGFZE/CU/DSC/720/2025-26</v>
          </cell>
          <cell r="U152">
            <v>24.85</v>
          </cell>
        </row>
        <row r="153">
          <cell r="O153" t="str">
            <v>S/AGFZE/CU/DSC/720/2025-26</v>
          </cell>
          <cell r="U153">
            <v>25</v>
          </cell>
        </row>
        <row r="154">
          <cell r="O154" t="str">
            <v>S/AGFZE/CUZN/DSC/680/2025-26</v>
          </cell>
          <cell r="U154">
            <v>19</v>
          </cell>
        </row>
        <row r="155">
          <cell r="O155" t="str">
            <v>S/AGFZE/CU/NS/733/2025-26</v>
          </cell>
          <cell r="U155">
            <v>20.605</v>
          </cell>
        </row>
        <row r="156">
          <cell r="O156" t="str">
            <v>S/AGFZE/CU/NS/733/2025-26</v>
          </cell>
          <cell r="U156">
            <v>20.475000000000001</v>
          </cell>
        </row>
        <row r="157">
          <cell r="O157" t="str">
            <v>S/AGFZE/CU/RRW/712/2025-26</v>
          </cell>
          <cell r="U157">
            <v>19.312000000000001</v>
          </cell>
        </row>
        <row r="158">
          <cell r="O158" t="str">
            <v>S/AGFZE/CU/RRW/712/2025-26</v>
          </cell>
          <cell r="U158">
            <v>19.11</v>
          </cell>
        </row>
        <row r="159">
          <cell r="O159" t="str">
            <v>S/AGFZE/CU/NCI/767/2025-26</v>
          </cell>
          <cell r="U159">
            <v>19.346</v>
          </cell>
        </row>
        <row r="160">
          <cell r="O160" t="str">
            <v>S/AGFZE/CU/NCI/767/2025-26</v>
          </cell>
          <cell r="U160">
            <v>19.356000000000002</v>
          </cell>
        </row>
        <row r="161">
          <cell r="O161" t="str">
            <v>S/AGFZE/CU/NCI/767/2025-26</v>
          </cell>
          <cell r="U161">
            <v>19.004000000000001</v>
          </cell>
        </row>
        <row r="162">
          <cell r="O162" t="str">
            <v>S/AGFZE/CU/TTM/769/2025-26</v>
          </cell>
          <cell r="U162">
            <v>21.19</v>
          </cell>
        </row>
        <row r="163">
          <cell r="O163" t="str">
            <v>S/AGFZE/CU/TTM/769/2025-26</v>
          </cell>
          <cell r="U163">
            <v>18.559999999999999</v>
          </cell>
        </row>
        <row r="164">
          <cell r="O164" t="str">
            <v>S/AGFZE/CU/NS/776/2025-26</v>
          </cell>
          <cell r="U164">
            <v>25.1</v>
          </cell>
        </row>
        <row r="165">
          <cell r="O165" t="str">
            <v>S/AGFZE/CU/NS/776/2025-26</v>
          </cell>
          <cell r="U165">
            <v>25.26</v>
          </cell>
        </row>
        <row r="166">
          <cell r="O166" t="str">
            <v>S/AGFZE/CU/NS/776/2025-26</v>
          </cell>
          <cell r="U166">
            <v>24.5</v>
          </cell>
        </row>
        <row r="167">
          <cell r="O167" t="str">
            <v>S/AGFZE/CU/NS/776/2025-26</v>
          </cell>
          <cell r="U167"/>
        </row>
        <row r="168">
          <cell r="O168" t="str">
            <v>S/AGFZE/CU/NS/776/2025-26</v>
          </cell>
          <cell r="U168"/>
        </row>
        <row r="169">
          <cell r="O169" t="str">
            <v>S/AGFZE/CU/DSC/775/2025-26</v>
          </cell>
          <cell r="U169">
            <v>25.2</v>
          </cell>
        </row>
        <row r="170">
          <cell r="O170" t="str">
            <v>S/AGFZE/CU/DSC/775/2025-26</v>
          </cell>
          <cell r="U170">
            <v>24.56</v>
          </cell>
        </row>
        <row r="171">
          <cell r="O171" t="str">
            <v>S/AGFZE/CU/DSC/775/2025-26</v>
          </cell>
          <cell r="U171">
            <v>24.28</v>
          </cell>
        </row>
        <row r="172">
          <cell r="O172" t="str">
            <v>S/AGFZE/CU/DSC/775/2025-26</v>
          </cell>
          <cell r="U172"/>
        </row>
        <row r="173">
          <cell r="O173" t="str">
            <v>S/AGFZE/CU/DSC/775/2025-26</v>
          </cell>
          <cell r="U173"/>
        </row>
        <row r="174">
          <cell r="O174" t="str">
            <v>S/AGFZE/CU/DSC/777/2025-26</v>
          </cell>
          <cell r="U174">
            <v>24.74</v>
          </cell>
        </row>
        <row r="175">
          <cell r="O175" t="str">
            <v>S/AGFZE/CU/DSC/777/2025-26</v>
          </cell>
          <cell r="U175">
            <v>24.26</v>
          </cell>
        </row>
        <row r="176">
          <cell r="O176" t="str">
            <v>S/AGFZE/CU/DSC/777/2025-26</v>
          </cell>
          <cell r="U176"/>
        </row>
        <row r="177">
          <cell r="O177" t="str">
            <v>S/AGFZE/CU/DSC/777/2025-26</v>
          </cell>
          <cell r="U177"/>
        </row>
        <row r="178">
          <cell r="O178" t="str">
            <v>S/AGFZE/CU/DSC/777/2025-26</v>
          </cell>
          <cell r="U178"/>
        </row>
        <row r="179">
          <cell r="O179" t="str">
            <v>S/AGFZE/CU/DSC/777/2025-26</v>
          </cell>
          <cell r="U179"/>
        </row>
        <row r="180">
          <cell r="O180" t="str">
            <v>S/AGFZE/CU/DSC/777/2025-26</v>
          </cell>
          <cell r="U180"/>
        </row>
        <row r="181">
          <cell r="O181" t="str">
            <v>S/AGFZE/CU/DSC/777/2025-26</v>
          </cell>
          <cell r="U181"/>
        </row>
        <row r="182">
          <cell r="O182" t="str">
            <v>S/AGFZE/CU/DSC/777/2025-26</v>
          </cell>
          <cell r="U182"/>
        </row>
        <row r="183">
          <cell r="O183" t="str">
            <v>S/AGFZE/CU/DSC/777/2025-26</v>
          </cell>
          <cell r="U183"/>
        </row>
        <row r="184">
          <cell r="O184" t="str">
            <v>S/AGFZE/CU/DSC/778/2025-26</v>
          </cell>
          <cell r="U184">
            <v>20.585000000000001</v>
          </cell>
        </row>
        <row r="185">
          <cell r="O185" t="str">
            <v>S/AGFZE/CU/DSC/778/2025-26</v>
          </cell>
          <cell r="U185">
            <v>19.984999999999999</v>
          </cell>
        </row>
        <row r="186">
          <cell r="O186" t="str">
            <v>S/AGFZE/CU/NIE/779/2025-26</v>
          </cell>
          <cell r="U186">
            <v>18.795000000000002</v>
          </cell>
        </row>
        <row r="187">
          <cell r="O187" t="str">
            <v>S/AGFZE/CU/NS/789/2025-26</v>
          </cell>
          <cell r="U187">
            <v>20.29</v>
          </cell>
        </row>
        <row r="188">
          <cell r="O188" t="str">
            <v>S/AGFZE/CU/NS/789/2025-26</v>
          </cell>
          <cell r="U188">
            <v>20.68</v>
          </cell>
        </row>
        <row r="189">
          <cell r="O189" t="str">
            <v>S/AGFZE/CU/NS/789/2025-26</v>
          </cell>
          <cell r="U189">
            <v>20.260000000000002</v>
          </cell>
        </row>
        <row r="190">
          <cell r="O190" t="str">
            <v>S/AGFZE/CU/NIE/788/2025-26</v>
          </cell>
          <cell r="U190">
            <v>18.715</v>
          </cell>
        </row>
        <row r="191">
          <cell r="O191" t="str">
            <v>S/AGFZE/CU/NS/006/2026-27</v>
          </cell>
          <cell r="U191">
            <v>22.931999999999999</v>
          </cell>
        </row>
        <row r="192">
          <cell r="O192" t="str">
            <v>S/AGFZE/CU/NS/006/2026-27</v>
          </cell>
          <cell r="U192">
            <v>23.611999999999998</v>
          </cell>
        </row>
        <row r="193">
          <cell r="O193" t="str">
            <v>S/AGFZE/CU/TG/007/2026-27</v>
          </cell>
          <cell r="U193"/>
        </row>
        <row r="194">
          <cell r="O194" t="str">
            <v>S/AGFZE/CU/TG/007/2026-27</v>
          </cell>
          <cell r="U194"/>
        </row>
        <row r="195">
          <cell r="O195" t="str">
            <v>S/AGFZE/CU/DSC/027/2026-27</v>
          </cell>
          <cell r="U195"/>
        </row>
        <row r="196">
          <cell r="O196" t="str">
            <v>S/AGFZE/CU/ZGI/029/2026-27</v>
          </cell>
          <cell r="U196"/>
        </row>
        <row r="197">
          <cell r="O197" t="str">
            <v>S/AGFZE/CU/ZGI/029/2026-27</v>
          </cell>
          <cell r="U197"/>
        </row>
        <row r="198">
          <cell r="O198" t="str">
            <v>S/AGFZE/CU/ZGI/029/2026-27</v>
          </cell>
          <cell r="U198"/>
        </row>
        <row r="199">
          <cell r="O199" t="str">
            <v>S/AGFZE/CU/ZGI/029/2026-27</v>
          </cell>
          <cell r="U199"/>
        </row>
        <row r="200">
          <cell r="O200" t="str">
            <v>S/AGFZE/CU/ZGI/029/2026-27</v>
          </cell>
          <cell r="U200"/>
        </row>
        <row r="201">
          <cell r="O201" t="str">
            <v>S/AGFZE/CU/TTM/041/2026-27</v>
          </cell>
          <cell r="U201">
            <v>17</v>
          </cell>
        </row>
        <row r="202">
          <cell r="O202" t="str">
            <v>S/AGFZE/CU/TTM/041/2026-27</v>
          </cell>
          <cell r="U202">
            <v>19.28</v>
          </cell>
        </row>
        <row r="203">
          <cell r="O203" t="str">
            <v>S/AGFZE/CU/TTM/041/2026-27</v>
          </cell>
          <cell r="U203">
            <v>17.809999999999999</v>
          </cell>
        </row>
        <row r="204">
          <cell r="O204" t="str">
            <v>S/AGFZE/CU/TTM/041/2026-27</v>
          </cell>
          <cell r="U204"/>
        </row>
        <row r="205">
          <cell r="O205" t="str">
            <v>S/AGFZE/CUZN/DSC/695/2025-26</v>
          </cell>
          <cell r="U205">
            <v>20.215</v>
          </cell>
        </row>
        <row r="206">
          <cell r="O206" t="str">
            <v>S/AGFZE/CU/MIP/045/2026-27</v>
          </cell>
          <cell r="U206"/>
        </row>
        <row r="207">
          <cell r="O207" t="str">
            <v>S/AGFZE/CU/MIP/045/2026-27</v>
          </cell>
          <cell r="U207"/>
        </row>
        <row r="208">
          <cell r="O208" t="str">
            <v>S/AGFZE/CU/DSC/047/2026-27</v>
          </cell>
          <cell r="U208">
            <v>19.920000000000002</v>
          </cell>
        </row>
        <row r="209">
          <cell r="O209" t="str">
            <v>S/AGFZE/CU/NS/046/2026-27</v>
          </cell>
          <cell r="U209"/>
        </row>
        <row r="210">
          <cell r="O210" t="str">
            <v>S/AGFZE/AL/KC/059/2026-27</v>
          </cell>
          <cell r="U210"/>
        </row>
        <row r="211">
          <cell r="O211" t="str">
            <v>S/AGFZE/AL/KC/059/2026-27</v>
          </cell>
          <cell r="U211"/>
        </row>
        <row r="212">
          <cell r="O212" t="str">
            <v>S/AGFZE/AL/KC/060/2026-27</v>
          </cell>
          <cell r="U212"/>
        </row>
        <row r="213">
          <cell r="O213" t="str">
            <v>S/AGFZE/AL/PM/061/2026-27</v>
          </cell>
          <cell r="U213"/>
        </row>
        <row r="214">
          <cell r="O214" t="str">
            <v>S/AGFZE/AL/HMC/062/2026-27</v>
          </cell>
          <cell r="U214"/>
        </row>
        <row r="215">
          <cell r="O215"/>
          <cell r="U215"/>
        </row>
        <row r="216">
          <cell r="O216"/>
          <cell r="U216"/>
        </row>
        <row r="217">
          <cell r="O217"/>
          <cell r="U217"/>
        </row>
        <row r="218">
          <cell r="O218"/>
          <cell r="U218"/>
        </row>
        <row r="219">
          <cell r="O219"/>
          <cell r="U219"/>
        </row>
        <row r="220">
          <cell r="O220"/>
          <cell r="U220"/>
        </row>
        <row r="221">
          <cell r="O221"/>
          <cell r="U221"/>
        </row>
        <row r="222">
          <cell r="O222"/>
          <cell r="U222"/>
        </row>
        <row r="223">
          <cell r="O223"/>
          <cell r="U223"/>
        </row>
        <row r="224">
          <cell r="O224"/>
          <cell r="U224"/>
        </row>
        <row r="225">
          <cell r="O225"/>
          <cell r="U225"/>
        </row>
        <row r="226">
          <cell r="O226"/>
          <cell r="U226"/>
        </row>
        <row r="227">
          <cell r="O227"/>
          <cell r="U227"/>
        </row>
        <row r="228">
          <cell r="O228"/>
          <cell r="U228"/>
        </row>
        <row r="229">
          <cell r="O229"/>
          <cell r="U229"/>
        </row>
        <row r="230">
          <cell r="O230"/>
          <cell r="U230"/>
        </row>
        <row r="231">
          <cell r="O231"/>
          <cell r="U231"/>
        </row>
        <row r="232">
          <cell r="O232"/>
          <cell r="U232"/>
        </row>
        <row r="233">
          <cell r="O233"/>
          <cell r="U233"/>
        </row>
        <row r="234">
          <cell r="O234"/>
          <cell r="U234"/>
        </row>
        <row r="235">
          <cell r="O235"/>
          <cell r="U235"/>
        </row>
        <row r="236">
          <cell r="O236" t="str">
            <v>S/AGFZE/CU/TTM/332/2025-26</v>
          </cell>
          <cell r="U236">
            <v>19.98</v>
          </cell>
        </row>
        <row r="237">
          <cell r="O237" t="str">
            <v>S/AGFZE/CU/TTM/332/2025-26</v>
          </cell>
          <cell r="U237">
            <v>18.36</v>
          </cell>
        </row>
        <row r="238">
          <cell r="O238" t="str">
            <v>S/AGFZE/CU/TTM/332/2025-26</v>
          </cell>
          <cell r="U238">
            <v>17.71</v>
          </cell>
        </row>
        <row r="239">
          <cell r="O239" t="str">
            <v>S/AGFZE/CU/TTM/332/2025-26</v>
          </cell>
          <cell r="U239">
            <v>19.41</v>
          </cell>
        </row>
        <row r="240">
          <cell r="O240" t="str">
            <v>S/AGFZE/CU/TTM/332/2025-26</v>
          </cell>
          <cell r="U240">
            <v>18.95</v>
          </cell>
        </row>
        <row r="241">
          <cell r="O241" t="str">
            <v>S/AGFZE/CU/TTM/378/2025-26</v>
          </cell>
          <cell r="U241">
            <v>21.29</v>
          </cell>
        </row>
        <row r="242">
          <cell r="O242" t="str">
            <v>S/AGFZE/CU/TTM/378/2025-26</v>
          </cell>
          <cell r="U242">
            <v>20.58</v>
          </cell>
        </row>
        <row r="243">
          <cell r="O243" t="str">
            <v>S/AGFZE/CU/USG/371/2025-26</v>
          </cell>
          <cell r="U243">
            <v>24.3</v>
          </cell>
        </row>
        <row r="244">
          <cell r="O244" t="str">
            <v>S/AGFZE/CU/USG/371/2025-26</v>
          </cell>
          <cell r="U244">
            <v>24</v>
          </cell>
        </row>
        <row r="245">
          <cell r="O245" t="str">
            <v>S/AGFZE/CU/TTM/378/2025-26</v>
          </cell>
          <cell r="U245">
            <v>18.54</v>
          </cell>
        </row>
        <row r="246">
          <cell r="O246" t="str">
            <v>S/AGFZE/CU/TTM/378/2025-26</v>
          </cell>
          <cell r="U246">
            <v>18.239999999999998</v>
          </cell>
        </row>
        <row r="247">
          <cell r="O247" t="str">
            <v>S/AGFZE/CU/DSC/658/2025-26</v>
          </cell>
          <cell r="U247">
            <v>19.66</v>
          </cell>
        </row>
        <row r="248">
          <cell r="O248" t="str">
            <v>S/AGFZE/CU/DSC/658/2025-26</v>
          </cell>
          <cell r="U248">
            <v>18.600000000000001</v>
          </cell>
        </row>
        <row r="249">
          <cell r="O249" t="str">
            <v>S/AGFZE/CU/DSC/658/2025-26</v>
          </cell>
          <cell r="U249">
            <v>19.2</v>
          </cell>
        </row>
        <row r="250">
          <cell r="O250" t="str">
            <v>S/AGFZE/CU/DSC/658/2025-26</v>
          </cell>
          <cell r="U250">
            <v>18.52</v>
          </cell>
        </row>
        <row r="251">
          <cell r="O251" t="str">
            <v>S/AGFZE/CU/DSC/658/2025-26</v>
          </cell>
          <cell r="U251">
            <v>21.45</v>
          </cell>
        </row>
        <row r="252">
          <cell r="O252" t="str">
            <v>S/AGFZE/AL/GRM/661/2025-26</v>
          </cell>
          <cell r="U252">
            <v>17.12</v>
          </cell>
        </row>
        <row r="253">
          <cell r="O253" t="str">
            <v>S/AGFZE/AL/RSM/664/2025-26</v>
          </cell>
          <cell r="U253">
            <v>19.07</v>
          </cell>
        </row>
        <row r="254">
          <cell r="O254" t="str">
            <v>S/AGFZE/AL/RSM/664/2025-26</v>
          </cell>
          <cell r="U254">
            <v>17.559999999999999</v>
          </cell>
        </row>
        <row r="255">
          <cell r="O255" t="str">
            <v>S/AGFZE/AL/KM/665/2025-26</v>
          </cell>
          <cell r="U255"/>
        </row>
        <row r="256">
          <cell r="O256" t="str">
            <v>S/AGFZE/CU/DSC/026/2026-27</v>
          </cell>
          <cell r="U256"/>
        </row>
        <row r="257">
          <cell r="O257" t="str">
            <v>S/AGFZE/CU/DSC/026/2026-27</v>
          </cell>
          <cell r="U257"/>
        </row>
        <row r="258">
          <cell r="O258" t="str">
            <v>S/AGFZE/CU/DSC/026/2026-27</v>
          </cell>
          <cell r="U258"/>
        </row>
        <row r="259">
          <cell r="O259" t="str">
            <v>S/AGFZE/CU/DSC/026/2026-27</v>
          </cell>
          <cell r="U259"/>
        </row>
        <row r="260">
          <cell r="O260" t="str">
            <v>S/AGFZE/CU/DSC/026/2026-27</v>
          </cell>
          <cell r="U260"/>
        </row>
        <row r="261">
          <cell r="O261" t="str">
            <v>S/AGFZE/CU/DSC/026/2026-27</v>
          </cell>
          <cell r="U261"/>
        </row>
        <row r="262">
          <cell r="O262" t="str">
            <v>S/AGFZE/CU/DSC/026/2026-27</v>
          </cell>
          <cell r="U262"/>
        </row>
        <row r="263">
          <cell r="O263" t="str">
            <v>S/AGFZE/CU/DSC/026/2026-27</v>
          </cell>
          <cell r="U263"/>
        </row>
        <row r="264">
          <cell r="O264" t="str">
            <v>S/AGFZE/CU/DSC/026/2026-27</v>
          </cell>
          <cell r="U264"/>
        </row>
        <row r="265">
          <cell r="O265" t="str">
            <v>S/AGFZE/CU/DSC/026/2026-27</v>
          </cell>
          <cell r="U265"/>
        </row>
        <row r="266">
          <cell r="O266" t="str">
            <v>S/AGFZE/CU/DSC/026/2026-27</v>
          </cell>
          <cell r="U266"/>
        </row>
        <row r="267">
          <cell r="O267" t="str">
            <v>S/AGFZE/CU/DSC/026/2026-27</v>
          </cell>
          <cell r="U267"/>
        </row>
        <row r="268">
          <cell r="O268" t="str">
            <v>S/AGFZE/CU/DSC/028/2026-27</v>
          </cell>
          <cell r="U268"/>
        </row>
        <row r="269">
          <cell r="O269" t="str">
            <v>S/AGFZE/CU/DSC/028/2026-27</v>
          </cell>
          <cell r="U269"/>
        </row>
        <row r="270">
          <cell r="O270" t="str">
            <v>S/AGFZE/CU/DSC/028/2026-27</v>
          </cell>
          <cell r="U270"/>
        </row>
        <row r="271">
          <cell r="O271" t="str">
            <v>S/AGFZE/CU/DSC/028/2026-27</v>
          </cell>
          <cell r="U271"/>
        </row>
        <row r="272">
          <cell r="O272" t="str">
            <v>S/AGFZE/CU/DSC/028/2026-27</v>
          </cell>
          <cell r="U272"/>
        </row>
        <row r="273">
          <cell r="O273" t="str">
            <v>S/AGFZE/CU/DSC/028/2026-27</v>
          </cell>
          <cell r="U273"/>
        </row>
        <row r="274">
          <cell r="O274" t="str">
            <v>S/AGFZE/CU/DSC/028/2026-27</v>
          </cell>
          <cell r="U274"/>
        </row>
        <row r="275">
          <cell r="O275" t="str">
            <v>S/AGFZE/CU/DSC/028/2026-27</v>
          </cell>
          <cell r="U275"/>
        </row>
        <row r="276">
          <cell r="O276" t="str">
            <v>S/AGFZE/CU/DSC/028/2026-27</v>
          </cell>
          <cell r="U276"/>
        </row>
        <row r="277">
          <cell r="O277" t="str">
            <v>S/AGFZE/CU/DSC/028/2026-27</v>
          </cell>
          <cell r="U277"/>
        </row>
        <row r="278">
          <cell r="O278" t="str">
            <v>S/AGFZE/AL/AMC/030/2026-27</v>
          </cell>
          <cell r="U278"/>
        </row>
        <row r="279">
          <cell r="O279" t="str">
            <v>S/AGFZE/AL/AMC/030/2026-27</v>
          </cell>
          <cell r="U279"/>
        </row>
        <row r="280">
          <cell r="O280" t="str">
            <v>S/AGFZE/AL/AMC/030/2026-27</v>
          </cell>
          <cell r="U280"/>
        </row>
        <row r="281">
          <cell r="O281" t="str">
            <v>S/AGFZE/AL/AMC/030/2026-27</v>
          </cell>
          <cell r="U281"/>
        </row>
        <row r="282">
          <cell r="O282" t="str">
            <v>S/AGFZE/AL/AMC/030/2026-27</v>
          </cell>
          <cell r="U282"/>
        </row>
        <row r="283">
          <cell r="O283" t="str">
            <v>S/AGFZE/AL/AMC/030/2026-27</v>
          </cell>
          <cell r="U283"/>
        </row>
        <row r="284">
          <cell r="O284" t="str">
            <v>S/AGFZE/AL/AMC/030/2026-27</v>
          </cell>
          <cell r="U284"/>
        </row>
        <row r="285">
          <cell r="O285" t="str">
            <v>S/AGFZE/AL/AMC/030/2026-27</v>
          </cell>
          <cell r="U285"/>
        </row>
        <row r="286">
          <cell r="O286" t="str">
            <v>S/AGFZE/AL/AMC/030/2026-27</v>
          </cell>
          <cell r="U286"/>
        </row>
        <row r="287">
          <cell r="O287" t="str">
            <v>S/AGFZE/AL/AMC/030/2026-27</v>
          </cell>
          <cell r="U287"/>
        </row>
        <row r="288">
          <cell r="O288"/>
          <cell r="U288"/>
        </row>
        <row r="289">
          <cell r="O289"/>
          <cell r="U289"/>
        </row>
        <row r="290">
          <cell r="O290"/>
          <cell r="U290"/>
        </row>
        <row r="291">
          <cell r="O291"/>
          <cell r="U291"/>
        </row>
        <row r="292">
          <cell r="O292"/>
          <cell r="U292"/>
        </row>
        <row r="293">
          <cell r="O293"/>
          <cell r="U293"/>
        </row>
        <row r="294">
          <cell r="O294"/>
          <cell r="U294"/>
        </row>
        <row r="295">
          <cell r="O295"/>
          <cell r="U295"/>
        </row>
        <row r="296">
          <cell r="O296"/>
          <cell r="U296"/>
        </row>
        <row r="297">
          <cell r="O297"/>
          <cell r="U297"/>
        </row>
        <row r="298">
          <cell r="O298"/>
          <cell r="U298"/>
        </row>
        <row r="299">
          <cell r="O299"/>
          <cell r="U299"/>
        </row>
        <row r="300">
          <cell r="O300"/>
          <cell r="U300"/>
        </row>
        <row r="301">
          <cell r="O301"/>
          <cell r="U301"/>
        </row>
        <row r="302">
          <cell r="O302"/>
          <cell r="U302"/>
        </row>
        <row r="303">
          <cell r="O303"/>
          <cell r="U303"/>
        </row>
        <row r="304">
          <cell r="O304" t="str">
            <v>S/AGFZE/AL/RAP/534/2025-26</v>
          </cell>
          <cell r="U304">
            <v>17.010000000000002</v>
          </cell>
        </row>
        <row r="305">
          <cell r="O305" t="str">
            <v>S/AGFZE/AL/KM/569/2025-26</v>
          </cell>
          <cell r="U305">
            <v>17.18</v>
          </cell>
        </row>
        <row r="306">
          <cell r="O306" t="str">
            <v>S/AGFZE/AL/KM/569/2025-26</v>
          </cell>
          <cell r="U306">
            <v>16.489999999999998</v>
          </cell>
        </row>
        <row r="307">
          <cell r="O307" t="str">
            <v>S/AGFZE/AL/KM/569/2025-26</v>
          </cell>
          <cell r="U307">
            <v>16.71</v>
          </cell>
        </row>
        <row r="308">
          <cell r="O308" t="str">
            <v>S/AGFZE/AL/GMU/570/2025-26</v>
          </cell>
          <cell r="U308"/>
        </row>
        <row r="309">
          <cell r="O309" t="str">
            <v>S/AGFZE/AL/GMU/570/2025-26</v>
          </cell>
          <cell r="U309"/>
        </row>
        <row r="310">
          <cell r="O310" t="str">
            <v>S/AGFZE/AL/GMU/570/2025-26</v>
          </cell>
          <cell r="U310"/>
        </row>
        <row r="311">
          <cell r="O311" t="str">
            <v>S/AGFZE/AL/GMU/570/2025-26</v>
          </cell>
          <cell r="U311"/>
        </row>
        <row r="312">
          <cell r="O312" t="str">
            <v>S/AGFZE/AL/GMU/570/2025-26</v>
          </cell>
          <cell r="U312"/>
        </row>
        <row r="313">
          <cell r="O313" t="str">
            <v>S/AGFZE/AL/RAP/535/2025-26</v>
          </cell>
          <cell r="U313">
            <v>16.829999999999998</v>
          </cell>
        </row>
        <row r="314">
          <cell r="O314" t="str">
            <v>S/AGFZE/AL/GMU/536/2025-26</v>
          </cell>
          <cell r="U314">
            <v>16.12</v>
          </cell>
        </row>
        <row r="315">
          <cell r="O315" t="str">
            <v>S/AGFZE/AL/GMU/544/2025-26</v>
          </cell>
          <cell r="U315">
            <v>16.62</v>
          </cell>
        </row>
        <row r="316">
          <cell r="O316" t="str">
            <v>S/AGFZE/AL/GMU/545/2025-26</v>
          </cell>
          <cell r="U316"/>
        </row>
        <row r="317">
          <cell r="O317" t="str">
            <v>S/AGFZE/AL/GMU/546/2025-26</v>
          </cell>
          <cell r="U317"/>
        </row>
        <row r="318">
          <cell r="O318" t="str">
            <v>S/AGFZE/CU/TTM/581/2025-26</v>
          </cell>
          <cell r="U318">
            <v>19.510000000000002</v>
          </cell>
        </row>
        <row r="319">
          <cell r="O319" t="str">
            <v>S/AGFZE/CU/TTM/682/2025-26</v>
          </cell>
          <cell r="U319">
            <v>19.309999999999999</v>
          </cell>
        </row>
        <row r="320">
          <cell r="O320" t="str">
            <v>S/AGFZE/CU/TTM/715/2025-26</v>
          </cell>
          <cell r="U320">
            <v>19.16</v>
          </cell>
        </row>
        <row r="321">
          <cell r="O321" t="str">
            <v>S/AGFZE/CU/TTM/682/2025-26</v>
          </cell>
          <cell r="U321">
            <v>19.350000000000001</v>
          </cell>
        </row>
        <row r="322">
          <cell r="O322" t="str">
            <v>S/AGFZE/CU/TTM/769/2025-26</v>
          </cell>
          <cell r="U322">
            <v>19.77</v>
          </cell>
        </row>
        <row r="323">
          <cell r="O323" t="str">
            <v>S/AGFZE/CU/SAP/584/2025-26</v>
          </cell>
          <cell r="U323">
            <v>19.600000000000001</v>
          </cell>
        </row>
        <row r="324">
          <cell r="O324" t="str">
            <v>S/AGFZE/CU/SAP/584/2025-26</v>
          </cell>
          <cell r="U324">
            <v>19.809999999999999</v>
          </cell>
        </row>
        <row r="325">
          <cell r="O325" t="str">
            <v>S/AGFZE/CU/SAP/584/2025-26</v>
          </cell>
          <cell r="U325">
            <v>19.059999999999999</v>
          </cell>
        </row>
        <row r="326">
          <cell r="O326" t="str">
            <v>S/AGFZE/CU/SAP/592/2025-26</v>
          </cell>
          <cell r="U326">
            <v>12.12</v>
          </cell>
        </row>
        <row r="327">
          <cell r="O327" t="str">
            <v>S/AGFZE/CU/SAP/592/2025-26</v>
          </cell>
          <cell r="U327">
            <v>7.2480000000000002</v>
          </cell>
        </row>
        <row r="328">
          <cell r="O328" t="str">
            <v>S/AGFZE/CU/MMA/576/2025-26</v>
          </cell>
          <cell r="U328"/>
        </row>
        <row r="329">
          <cell r="O329" t="str">
            <v>S/AGFZE/CU/CC/771/2025-26</v>
          </cell>
          <cell r="U329">
            <v>20.72</v>
          </cell>
        </row>
        <row r="330">
          <cell r="O330" t="str">
            <v>S/AGFZE/CU/CC/690/2025-26</v>
          </cell>
          <cell r="U330">
            <v>19.41</v>
          </cell>
        </row>
        <row r="331">
          <cell r="O331" t="str">
            <v>S/AGFZE/CU/KMI/696/2025-26</v>
          </cell>
          <cell r="U331"/>
        </row>
        <row r="332">
          <cell r="O332" t="str">
            <v>S/AGFZE/CU/DSC/709/2025-26</v>
          </cell>
          <cell r="U332">
            <v>20.22</v>
          </cell>
        </row>
        <row r="333">
          <cell r="O333" t="str">
            <v>S/AGFZE/CU/DSC/709/2025-26</v>
          </cell>
          <cell r="U333">
            <v>22.73</v>
          </cell>
        </row>
        <row r="334">
          <cell r="O334" t="str">
            <v>S/AGFZE/CU/NCI/713/2025-26</v>
          </cell>
          <cell r="U334">
            <v>19.850000000000001</v>
          </cell>
        </row>
        <row r="335">
          <cell r="O335" t="str">
            <v>S/AGFZE/CU/NCI/710/2025-26</v>
          </cell>
          <cell r="U335">
            <v>23.181999999999999</v>
          </cell>
        </row>
        <row r="336">
          <cell r="O336" t="str">
            <v>S/AGFZE/CU/NCI/710/2025-26</v>
          </cell>
          <cell r="U336">
            <v>18.512</v>
          </cell>
        </row>
        <row r="337">
          <cell r="O337" t="str">
            <v>S/AGFZE/CU/NCI/730/2025-26</v>
          </cell>
          <cell r="U337">
            <v>20.010000000000002</v>
          </cell>
        </row>
        <row r="338">
          <cell r="O338" t="str">
            <v>S/AGFZE/CU/NCI/730/2025-26</v>
          </cell>
          <cell r="U338">
            <v>19.71</v>
          </cell>
        </row>
        <row r="339">
          <cell r="O339" t="str">
            <v>S/AGFZE/CU/NCI/754/2025-26</v>
          </cell>
          <cell r="U339">
            <v>19.28</v>
          </cell>
        </row>
        <row r="340">
          <cell r="O340" t="str">
            <v>S/AGFZE/CU/NCI/754/2025-26</v>
          </cell>
          <cell r="U340">
            <v>19.96</v>
          </cell>
        </row>
        <row r="341">
          <cell r="O341" t="str">
            <v>S/AGFZE/CU/NCI/754/2025-26</v>
          </cell>
          <cell r="U341">
            <v>20.13</v>
          </cell>
        </row>
        <row r="342">
          <cell r="O342" t="str">
            <v>S/AGFZE/CU/NCI/757/2025-26</v>
          </cell>
          <cell r="U342">
            <v>20.282</v>
          </cell>
        </row>
        <row r="343">
          <cell r="O343" t="str">
            <v>S/AGFZE/CU/NCI/757/2025-26</v>
          </cell>
          <cell r="U343">
            <v>21.734000000000002</v>
          </cell>
        </row>
        <row r="344">
          <cell r="O344" t="str">
            <v>S/AGFZE/CU/CC/771/2025-26</v>
          </cell>
          <cell r="U344">
            <v>20.399999999999999</v>
          </cell>
        </row>
        <row r="345">
          <cell r="O345" t="str">
            <v>S/AGFZE/CU/CC/771/2025-26</v>
          </cell>
          <cell r="U345"/>
        </row>
        <row r="346">
          <cell r="O346" t="str">
            <v>S/AGFZE/CU/CC/771/2025-26</v>
          </cell>
          <cell r="U346"/>
        </row>
        <row r="347">
          <cell r="O347" t="str">
            <v>S/AGFZE/CU/TTM/008/2026-27</v>
          </cell>
          <cell r="U347">
            <v>19.77</v>
          </cell>
        </row>
        <row r="348">
          <cell r="O348" t="str">
            <v>S/AGFZE/CU/RRW/599/2025-26</v>
          </cell>
          <cell r="U348"/>
        </row>
        <row r="349">
          <cell r="O349" t="str">
            <v>S/AGFZE/CU/DSC/778/2025-26</v>
          </cell>
          <cell r="U349">
            <v>20.63</v>
          </cell>
        </row>
        <row r="350">
          <cell r="O350" t="str">
            <v>S/AGFZE/CU/DSC/778/2025-26</v>
          </cell>
          <cell r="U350">
            <v>19.37</v>
          </cell>
        </row>
        <row r="351">
          <cell r="O351" t="str">
            <v>S/AGFZE/CU/DSC/778/2025-26</v>
          </cell>
          <cell r="U351"/>
        </row>
        <row r="352">
          <cell r="O352" t="str">
            <v>S/AGFZE/CU/DSC/778/2025-26</v>
          </cell>
          <cell r="U352"/>
        </row>
        <row r="353">
          <cell r="O353" t="str">
            <v>S/AGFZE/CU/DSC/778/2025-26</v>
          </cell>
          <cell r="U353"/>
        </row>
        <row r="354">
          <cell r="O354" t="str">
            <v>S/AGFZE/CU/DSC/770/2025-26</v>
          </cell>
          <cell r="U354">
            <v>6.8940000000000001</v>
          </cell>
        </row>
        <row r="355">
          <cell r="O355" t="str">
            <v>S/AGFZE/CU/DSC/770/2025-26</v>
          </cell>
          <cell r="U355">
            <v>17.45</v>
          </cell>
        </row>
        <row r="356">
          <cell r="O356" t="str">
            <v>S/AGFZE/CU/NCI/782/2025-26</v>
          </cell>
          <cell r="U356">
            <v>19.942</v>
          </cell>
        </row>
        <row r="357">
          <cell r="O357" t="str">
            <v>S/AGFZE/CU/NCI/783/2025-26</v>
          </cell>
          <cell r="U357"/>
        </row>
        <row r="358">
          <cell r="O358" t="str">
            <v>S/AGFZE/CU/NCI/786/2025-26</v>
          </cell>
          <cell r="U358">
            <v>20.56</v>
          </cell>
        </row>
        <row r="359">
          <cell r="O359" t="str">
            <v>S/AGFZE/CU/NCI/786/2025-26</v>
          </cell>
          <cell r="U359">
            <v>20.59</v>
          </cell>
        </row>
        <row r="360">
          <cell r="O360" t="str">
            <v>S/AGFZE/CU/DSC/785/2025-26</v>
          </cell>
          <cell r="U360">
            <v>21.29</v>
          </cell>
        </row>
        <row r="361">
          <cell r="O361" t="str">
            <v>S/AGFZE/CU/TTM/005/2026-27</v>
          </cell>
          <cell r="U361">
            <v>19.829999999999998</v>
          </cell>
        </row>
        <row r="362">
          <cell r="O362" t="str">
            <v>S/AGFZE/CU/TTM/005/2026-27</v>
          </cell>
          <cell r="U362">
            <v>20.57</v>
          </cell>
        </row>
        <row r="363">
          <cell r="O363" t="str">
            <v>S/AGFZE/CU/TTM/005/2026-27</v>
          </cell>
          <cell r="U363">
            <v>20.66</v>
          </cell>
        </row>
        <row r="364">
          <cell r="O364" t="str">
            <v>S/AGFZE/CU/TTM/005/2026-27</v>
          </cell>
          <cell r="U364">
            <v>18.399999999999999</v>
          </cell>
        </row>
        <row r="365">
          <cell r="O365" t="str">
            <v>S/AGFZE/CU/TTM/005/2026-27</v>
          </cell>
          <cell r="U365">
            <v>17.54</v>
          </cell>
        </row>
        <row r="366">
          <cell r="O366" t="str">
            <v>S/AGFZE/CU/TTM/009/2026-27</v>
          </cell>
          <cell r="U366">
            <v>19.989999999999998</v>
          </cell>
        </row>
        <row r="367">
          <cell r="O367" t="str">
            <v>S/AGFZE/CU/TTM/009/2026-27</v>
          </cell>
          <cell r="U367">
            <v>20.34</v>
          </cell>
        </row>
        <row r="368">
          <cell r="O368" t="str">
            <v>S/AGFZE/CU/TTM/009/2026-27</v>
          </cell>
          <cell r="U368">
            <v>20.100000000000001</v>
          </cell>
        </row>
        <row r="369">
          <cell r="O369" t="str">
            <v>S/AGFZE/CU/TTM/009/2026-27</v>
          </cell>
          <cell r="U369">
            <v>20.010000000000002</v>
          </cell>
        </row>
        <row r="370">
          <cell r="O370" t="str">
            <v>S/AGFZE/CU/TTM/009/2026-27</v>
          </cell>
          <cell r="U370">
            <v>20.68</v>
          </cell>
        </row>
        <row r="371">
          <cell r="O371" t="str">
            <v>S/AGFZE/CU/DSC/032/2026-27</v>
          </cell>
          <cell r="U371">
            <v>19.899999999999999</v>
          </cell>
        </row>
        <row r="372">
          <cell r="O372" t="str">
            <v>S/AGFZE/CU/DSC/032/2026-27</v>
          </cell>
          <cell r="U372">
            <v>19.89</v>
          </cell>
        </row>
        <row r="373">
          <cell r="O373" t="str">
            <v>S/AGFZE/CU/DSC/032/2026-27</v>
          </cell>
          <cell r="U373">
            <v>24.19</v>
          </cell>
        </row>
        <row r="374">
          <cell r="O374" t="str">
            <v>S/AGFZE/CU/NS/049/2026-27</v>
          </cell>
          <cell r="U374">
            <v>22.916</v>
          </cell>
        </row>
        <row r="375">
          <cell r="O375" t="str">
            <v>S/AGFZE/CU/NS/049/2026-27</v>
          </cell>
          <cell r="U375"/>
        </row>
        <row r="376">
          <cell r="O376" t="str">
            <v>S/AGFZE/CU/TTM/052/2026-27</v>
          </cell>
          <cell r="U376"/>
        </row>
        <row r="377">
          <cell r="O377" t="str">
            <v>S/AGFZE/CU/TTM/052/2026-27</v>
          </cell>
          <cell r="U377"/>
        </row>
        <row r="378">
          <cell r="O378" t="str">
            <v>S/AGFZE/CU/TTM/052/2026-27</v>
          </cell>
          <cell r="U378"/>
        </row>
        <row r="379">
          <cell r="O379" t="str">
            <v>S/AGFZE/CU/TTM/052/2026-27</v>
          </cell>
          <cell r="U379"/>
        </row>
        <row r="380">
          <cell r="O380" t="str">
            <v>S/AGFZE/CU/TTM/052/2026-27</v>
          </cell>
          <cell r="U380"/>
        </row>
        <row r="381">
          <cell r="O381" t="str">
            <v>S/AGFZE/CU/NCI/057/2026-27</v>
          </cell>
          <cell r="U381">
            <v>19</v>
          </cell>
        </row>
        <row r="382">
          <cell r="O382" t="str">
            <v>S/AGFZE/CU/NCI/057/2026-27</v>
          </cell>
          <cell r="U382"/>
        </row>
        <row r="383">
          <cell r="O383" t="str">
            <v>S/AGFZE/CU/NS/058/2026-27</v>
          </cell>
          <cell r="U383"/>
        </row>
        <row r="384">
          <cell r="O384" t="str">
            <v>S/AGFZE/CU/NS/058/2026-27</v>
          </cell>
          <cell r="U384"/>
        </row>
        <row r="385">
          <cell r="O385" t="str">
            <v>S/AGFZE/CU/NS/058/2026-27</v>
          </cell>
          <cell r="U385"/>
        </row>
        <row r="386">
          <cell r="O386"/>
          <cell r="U386"/>
        </row>
        <row r="387">
          <cell r="O387"/>
          <cell r="U387"/>
        </row>
        <row r="388">
          <cell r="O388"/>
          <cell r="U388"/>
        </row>
        <row r="389">
          <cell r="O389"/>
          <cell r="U389"/>
        </row>
        <row r="390">
          <cell r="O390"/>
          <cell r="U390"/>
        </row>
        <row r="391">
          <cell r="O391"/>
          <cell r="U391"/>
        </row>
        <row r="392">
          <cell r="O392"/>
          <cell r="U392"/>
        </row>
        <row r="393">
          <cell r="O393"/>
          <cell r="U393"/>
        </row>
        <row r="394">
          <cell r="O394"/>
          <cell r="U394"/>
        </row>
        <row r="395">
          <cell r="O395"/>
          <cell r="U395"/>
        </row>
        <row r="396">
          <cell r="O396"/>
          <cell r="U396"/>
        </row>
        <row r="397">
          <cell r="O397"/>
          <cell r="U397"/>
        </row>
        <row r="398">
          <cell r="O398"/>
          <cell r="U398"/>
        </row>
        <row r="399">
          <cell r="O399"/>
          <cell r="U399"/>
        </row>
        <row r="400">
          <cell r="O400"/>
          <cell r="U400"/>
        </row>
        <row r="401">
          <cell r="O401"/>
          <cell r="U401"/>
        </row>
        <row r="402">
          <cell r="O402"/>
          <cell r="U402"/>
        </row>
        <row r="403">
          <cell r="O403" t="str">
            <v>S/AGFZE/CU/NH/694/2025-26</v>
          </cell>
          <cell r="U403">
            <v>26.245000000000001</v>
          </cell>
        </row>
        <row r="404">
          <cell r="O404" t="str">
            <v>S/AGFZE/CU/NH/694/2025-26</v>
          </cell>
          <cell r="U404">
            <v>26.11</v>
          </cell>
        </row>
        <row r="405">
          <cell r="O405" t="str">
            <v>S/AGFZE/CU/NH/694/2025-26</v>
          </cell>
          <cell r="U405">
            <v>26.215</v>
          </cell>
        </row>
        <row r="406">
          <cell r="O406" t="str">
            <v>S/AGFZE/CU/NL/685/2025-26</v>
          </cell>
          <cell r="U406">
            <v>26.215</v>
          </cell>
        </row>
        <row r="407">
          <cell r="O407" t="str">
            <v>S/AGFZE/CU/NCI/761/2025-26</v>
          </cell>
          <cell r="U407">
            <v>26.234999999999999</v>
          </cell>
        </row>
        <row r="408">
          <cell r="O408" t="str">
            <v>S/AGFZE/CU/NCI/761/2025-26</v>
          </cell>
          <cell r="U408">
            <v>26.24</v>
          </cell>
        </row>
        <row r="409">
          <cell r="O409" t="str">
            <v>S/AGFZE/CU/NCI/761/2025-26</v>
          </cell>
          <cell r="U409">
            <v>26.184999999999999</v>
          </cell>
        </row>
        <row r="410">
          <cell r="O410" t="str">
            <v>S/AGFZE/CU/NCI/761/2025-26</v>
          </cell>
          <cell r="U410">
            <v>26.13</v>
          </cell>
        </row>
        <row r="411">
          <cell r="O411" t="str">
            <v>S/AGFZE/CU/NCI/761/2025-26</v>
          </cell>
          <cell r="U411">
            <v>26.22</v>
          </cell>
        </row>
        <row r="412">
          <cell r="O412" t="str">
            <v>S/AGFZE/CU/NCI/761/2025-26</v>
          </cell>
          <cell r="U412">
            <v>26.18</v>
          </cell>
        </row>
        <row r="413">
          <cell r="O413" t="str">
            <v>S/AGFZE/CU/NCI/761/2025-26</v>
          </cell>
          <cell r="U413">
            <v>26.22</v>
          </cell>
        </row>
        <row r="414">
          <cell r="O414" t="str">
            <v>S/AGFZE/CU/NCI/761/2025-26</v>
          </cell>
          <cell r="U414">
            <v>26.28</v>
          </cell>
        </row>
        <row r="415">
          <cell r="O415" t="str">
            <v>S/AGFZE/CU/NCI/761/2025-26</v>
          </cell>
          <cell r="U415">
            <v>26.22</v>
          </cell>
        </row>
        <row r="416">
          <cell r="O416" t="str">
            <v>S/AGFZE/CU/NCI/761/2025-26</v>
          </cell>
          <cell r="U416">
            <v>26.09</v>
          </cell>
        </row>
        <row r="417">
          <cell r="O417" t="str">
            <v>S/AGFZE/CU/NCI/761/2025-26</v>
          </cell>
          <cell r="U417">
            <v>26.14</v>
          </cell>
        </row>
        <row r="418">
          <cell r="O418" t="str">
            <v>S/AGFZE/CU/NCI/761/2025-26</v>
          </cell>
          <cell r="U418">
            <v>26.12</v>
          </cell>
        </row>
        <row r="419">
          <cell r="O419" t="str">
            <v>S/AGFZE/CU/NTF/760/2025-26</v>
          </cell>
          <cell r="U419"/>
        </row>
        <row r="420">
          <cell r="O420" t="str">
            <v>S/AGFZE/CU/NTF/760/2025-26</v>
          </cell>
          <cell r="U420"/>
        </row>
        <row r="421">
          <cell r="O421" t="str">
            <v>S/AGFZE/CU/NTF/760/2025-26</v>
          </cell>
          <cell r="U421"/>
        </row>
        <row r="422">
          <cell r="O422" t="str">
            <v>S/AGFZE/CU/NTF/760/2025-26</v>
          </cell>
          <cell r="U422"/>
        </row>
        <row r="423">
          <cell r="O423" t="str">
            <v>S/AGFZE/CU/NTF/760/2025-26</v>
          </cell>
          <cell r="U423"/>
        </row>
        <row r="424">
          <cell r="O424" t="str">
            <v>S/AGFZE/CU/NTF/760/2025-26</v>
          </cell>
          <cell r="U424"/>
        </row>
        <row r="425">
          <cell r="O425" t="str">
            <v>S/AGFZE/CU/NTF/760/2025-26</v>
          </cell>
          <cell r="U425"/>
        </row>
        <row r="426">
          <cell r="O426" t="str">
            <v>S/AGFZE/CU/NTF/760/2025-26</v>
          </cell>
          <cell r="U426"/>
        </row>
        <row r="427">
          <cell r="O427" t="str">
            <v>S/AGFZE/CU/NL/759/2025-26</v>
          </cell>
          <cell r="U427"/>
        </row>
        <row r="428">
          <cell r="O428" t="str">
            <v>S/AGFZE/CU/NL/759/2025-26</v>
          </cell>
          <cell r="U428"/>
        </row>
        <row r="429">
          <cell r="O429" t="str">
            <v>S/AGFZE/CU/NL/759/2025-26</v>
          </cell>
          <cell r="U429"/>
        </row>
        <row r="430">
          <cell r="O430" t="str">
            <v>S/AGFZE/CU/NL/759/2025-26</v>
          </cell>
          <cell r="U430"/>
        </row>
        <row r="431">
          <cell r="O431" t="str">
            <v>S/AGFZE/CU/NL/759/2025-26</v>
          </cell>
          <cell r="U431"/>
        </row>
        <row r="432">
          <cell r="O432" t="str">
            <v>S/AGFZE/CU/NL/759/2025-26</v>
          </cell>
          <cell r="U432"/>
        </row>
        <row r="433">
          <cell r="O433" t="str">
            <v>S/AGFZE/CU/NL/759/2025-26</v>
          </cell>
          <cell r="U433"/>
        </row>
        <row r="434">
          <cell r="O434"/>
          <cell r="U434"/>
        </row>
        <row r="435">
          <cell r="O435"/>
          <cell r="U435"/>
        </row>
        <row r="436">
          <cell r="O436"/>
          <cell r="U436"/>
        </row>
        <row r="437">
          <cell r="O437"/>
          <cell r="U437"/>
        </row>
        <row r="438">
          <cell r="O438"/>
          <cell r="U438"/>
        </row>
        <row r="439">
          <cell r="O439"/>
          <cell r="U439"/>
        </row>
        <row r="440">
          <cell r="O440"/>
          <cell r="U440"/>
        </row>
        <row r="441">
          <cell r="O441"/>
          <cell r="U441"/>
        </row>
        <row r="442">
          <cell r="O442"/>
          <cell r="U442"/>
        </row>
        <row r="443">
          <cell r="O443"/>
          <cell r="U443"/>
        </row>
        <row r="444">
          <cell r="O444"/>
          <cell r="U444"/>
        </row>
        <row r="445">
          <cell r="O445"/>
          <cell r="U445"/>
        </row>
        <row r="446">
          <cell r="O446"/>
          <cell r="U446"/>
        </row>
        <row r="447">
          <cell r="O447"/>
          <cell r="U447"/>
        </row>
        <row r="448">
          <cell r="O448"/>
          <cell r="U448"/>
        </row>
        <row r="449">
          <cell r="O449"/>
          <cell r="U449"/>
        </row>
        <row r="450">
          <cell r="O450"/>
          <cell r="U450"/>
        </row>
        <row r="451">
          <cell r="O451"/>
          <cell r="U451"/>
        </row>
        <row r="452">
          <cell r="O452"/>
          <cell r="U452"/>
        </row>
        <row r="453">
          <cell r="O453"/>
          <cell r="U453"/>
        </row>
        <row r="454">
          <cell r="O454"/>
          <cell r="U454"/>
        </row>
        <row r="455">
          <cell r="O455"/>
          <cell r="U455"/>
        </row>
        <row r="456">
          <cell r="O456"/>
          <cell r="U456"/>
        </row>
        <row r="457">
          <cell r="O457"/>
          <cell r="U457"/>
        </row>
        <row r="458">
          <cell r="O458"/>
          <cell r="U458"/>
        </row>
        <row r="459">
          <cell r="O459"/>
          <cell r="U459"/>
        </row>
        <row r="460">
          <cell r="O460"/>
          <cell r="U460"/>
        </row>
        <row r="461">
          <cell r="O461"/>
          <cell r="U461"/>
        </row>
        <row r="462">
          <cell r="O462"/>
          <cell r="U462"/>
        </row>
        <row r="463">
          <cell r="O463"/>
          <cell r="U463"/>
        </row>
        <row r="464">
          <cell r="O464" t="str">
            <v>S/AGFZE/CU/NCI/753/2025-26</v>
          </cell>
          <cell r="U464">
            <v>26.03</v>
          </cell>
        </row>
        <row r="465">
          <cell r="O465" t="str">
            <v>S/AGFZE/CU/NCI/753/2025-26</v>
          </cell>
          <cell r="U465"/>
        </row>
        <row r="466">
          <cell r="O466"/>
          <cell r="U466"/>
        </row>
        <row r="467">
          <cell r="O467"/>
          <cell r="U467"/>
        </row>
        <row r="468">
          <cell r="O468"/>
          <cell r="U468"/>
        </row>
        <row r="469">
          <cell r="O469"/>
          <cell r="U469"/>
        </row>
        <row r="470">
          <cell r="O470"/>
          <cell r="U470"/>
        </row>
        <row r="471">
          <cell r="O471"/>
          <cell r="U471"/>
        </row>
        <row r="472">
          <cell r="O472"/>
          <cell r="U472"/>
        </row>
        <row r="473">
          <cell r="O473"/>
          <cell r="U473"/>
        </row>
        <row r="474">
          <cell r="O474"/>
          <cell r="U474"/>
        </row>
        <row r="475">
          <cell r="O475"/>
          <cell r="U475"/>
        </row>
        <row r="476">
          <cell r="O476"/>
          <cell r="U476"/>
        </row>
        <row r="477">
          <cell r="O477"/>
          <cell r="U477"/>
        </row>
        <row r="478">
          <cell r="O478"/>
          <cell r="U478"/>
        </row>
        <row r="479">
          <cell r="O479"/>
          <cell r="U479"/>
        </row>
        <row r="480">
          <cell r="O480"/>
          <cell r="U480"/>
        </row>
        <row r="481">
          <cell r="O481"/>
          <cell r="U481"/>
        </row>
        <row r="482">
          <cell r="O482"/>
          <cell r="U482"/>
        </row>
        <row r="483">
          <cell r="O483"/>
          <cell r="U483"/>
        </row>
        <row r="484">
          <cell r="O484"/>
          <cell r="U484"/>
        </row>
        <row r="485">
          <cell r="O485" t="str">
            <v>S/AGFZE/CU/TLM/528/2025-26</v>
          </cell>
          <cell r="U485"/>
        </row>
        <row r="486">
          <cell r="O486" t="str">
            <v>S/AGFZE/CU/TLM/528/2025-26</v>
          </cell>
          <cell r="U486"/>
        </row>
        <row r="487">
          <cell r="O487" t="str">
            <v>S/AGFZE/CU/NH/651/2025-26</v>
          </cell>
          <cell r="U487">
            <v>24.41</v>
          </cell>
        </row>
        <row r="488">
          <cell r="O488" t="str">
            <v>S/AGFZE/CU/NH/651/2025-26</v>
          </cell>
          <cell r="U488">
            <v>24.54</v>
          </cell>
        </row>
        <row r="489">
          <cell r="O489" t="str">
            <v>S/AGFZE/CU/NL/687/2025-26</v>
          </cell>
          <cell r="U489">
            <v>24.97</v>
          </cell>
        </row>
        <row r="490">
          <cell r="O490" t="str">
            <v>S/AGFZE/CU/NL/687/2025-26</v>
          </cell>
          <cell r="U490">
            <v>25.024999999999999</v>
          </cell>
        </row>
        <row r="491">
          <cell r="O491" t="str">
            <v>S/AGFZE/CU/NRR/686/2025-26</v>
          </cell>
          <cell r="U491"/>
        </row>
        <row r="492">
          <cell r="O492"/>
          <cell r="U492"/>
        </row>
        <row r="493">
          <cell r="O493"/>
          <cell r="U493"/>
        </row>
        <row r="494">
          <cell r="O494"/>
          <cell r="U494"/>
        </row>
        <row r="495">
          <cell r="O495"/>
          <cell r="U495"/>
        </row>
        <row r="496">
          <cell r="O496"/>
          <cell r="U496"/>
        </row>
        <row r="497">
          <cell r="O497"/>
          <cell r="U497"/>
        </row>
        <row r="498">
          <cell r="O498"/>
          <cell r="U498"/>
        </row>
        <row r="499">
          <cell r="O499"/>
          <cell r="U499"/>
        </row>
        <row r="500">
          <cell r="O500"/>
          <cell r="U500"/>
        </row>
        <row r="501">
          <cell r="O501"/>
          <cell r="U501"/>
        </row>
        <row r="502">
          <cell r="O502"/>
          <cell r="U502"/>
        </row>
        <row r="503">
          <cell r="O503"/>
          <cell r="U503"/>
        </row>
        <row r="504">
          <cell r="O504"/>
          <cell r="U504"/>
        </row>
        <row r="505">
          <cell r="O505"/>
          <cell r="U505"/>
        </row>
        <row r="506">
          <cell r="O506"/>
          <cell r="U506"/>
        </row>
        <row r="507">
          <cell r="O507"/>
          <cell r="U507"/>
        </row>
        <row r="508">
          <cell r="O508"/>
          <cell r="U508"/>
        </row>
        <row r="509">
          <cell r="O509"/>
          <cell r="U509"/>
        </row>
        <row r="510">
          <cell r="O510"/>
          <cell r="U510"/>
        </row>
        <row r="511">
          <cell r="O511"/>
          <cell r="U511"/>
        </row>
        <row r="512">
          <cell r="O512"/>
          <cell r="U512"/>
        </row>
        <row r="513">
          <cell r="O513"/>
          <cell r="U513"/>
        </row>
        <row r="514">
          <cell r="O514" t="str">
            <v>S/AGFZE/CU/DSC/154/2025-26</v>
          </cell>
          <cell r="U514">
            <v>18.079999999999998</v>
          </cell>
        </row>
        <row r="515">
          <cell r="O515" t="str">
            <v>S/AGFZE/CU/DSC/154/2025-26</v>
          </cell>
          <cell r="U515">
            <v>19.36</v>
          </cell>
        </row>
        <row r="516">
          <cell r="O516" t="str">
            <v>S/AGFZE/CU/DSC/154/2025-26</v>
          </cell>
          <cell r="U516">
            <v>20.25</v>
          </cell>
        </row>
        <row r="517">
          <cell r="O517" t="str">
            <v>S/AGFZE/CU/DSC/154/2025-26</v>
          </cell>
          <cell r="U517">
            <v>21.03</v>
          </cell>
        </row>
        <row r="518">
          <cell r="O518" t="str">
            <v>S/AGFZE/CU/DSC/154/2025-26</v>
          </cell>
          <cell r="U518"/>
        </row>
        <row r="519">
          <cell r="O519" t="str">
            <v>S/AGFZE/CU/DSC/399/2025-26</v>
          </cell>
          <cell r="U519">
            <v>17.88</v>
          </cell>
        </row>
        <row r="520">
          <cell r="O520" t="str">
            <v>S/AGFZE/CU/DSC/399/2025-26</v>
          </cell>
          <cell r="U520">
            <v>20.32</v>
          </cell>
        </row>
        <row r="521">
          <cell r="O521" t="str">
            <v>S/AGFZE/CU/DSC/399/2025-26</v>
          </cell>
          <cell r="U521">
            <v>19.64</v>
          </cell>
        </row>
        <row r="522">
          <cell r="O522" t="str">
            <v>S/AGFZE/CU/DSC/399/2025-26</v>
          </cell>
          <cell r="U522">
            <v>19.399999999999999</v>
          </cell>
        </row>
        <row r="523">
          <cell r="O523" t="str">
            <v>S/AGFZE/CU/DSC/399/2025-26</v>
          </cell>
          <cell r="U523">
            <v>18.41</v>
          </cell>
        </row>
        <row r="524">
          <cell r="O524" t="str">
            <v>S/AGFZE/CU/DSC/399/2025-26</v>
          </cell>
          <cell r="U524">
            <v>20.420000000000002</v>
          </cell>
        </row>
        <row r="525">
          <cell r="O525" t="str">
            <v>S/AGFZE/CU/DSC/399/2025-26</v>
          </cell>
          <cell r="U525">
            <v>19.23</v>
          </cell>
        </row>
        <row r="526">
          <cell r="O526" t="str">
            <v>S/AGFZE/CU/DSC/399/2025-26</v>
          </cell>
          <cell r="U526">
            <v>19.48</v>
          </cell>
        </row>
        <row r="527">
          <cell r="O527" t="str">
            <v>S/AGFZE/CU/DSC/399/2025-26</v>
          </cell>
          <cell r="U527">
            <v>22.59</v>
          </cell>
        </row>
        <row r="528">
          <cell r="O528" t="str">
            <v>S/AGFZE/CU/DSC/399/2025-26</v>
          </cell>
          <cell r="U528">
            <v>18.059999999999999</v>
          </cell>
        </row>
        <row r="529">
          <cell r="O529" t="str">
            <v>S/AGFZE/CU/DSC/399/2025-26</v>
          </cell>
          <cell r="U529">
            <v>20.96</v>
          </cell>
        </row>
        <row r="530">
          <cell r="O530" t="str">
            <v>S/AGFZE/CU/DSC/399/2025-26</v>
          </cell>
          <cell r="U530">
            <v>19.18</v>
          </cell>
        </row>
        <row r="531">
          <cell r="O531" t="str">
            <v>S/AGFZE/CU/DSC/399/2025-26</v>
          </cell>
          <cell r="U531"/>
        </row>
        <row r="532">
          <cell r="O532" t="str">
            <v>S/AGFZE/CU/DSC/399/2025-26</v>
          </cell>
          <cell r="U532"/>
        </row>
        <row r="533">
          <cell r="O533" t="str">
            <v>S/AGFZE/CU/DSC/399/2025-26</v>
          </cell>
          <cell r="U533"/>
        </row>
        <row r="534">
          <cell r="O534" t="str">
            <v>S/AGFZE/CU/DSC/406/2025-26</v>
          </cell>
          <cell r="U534">
            <v>19.59</v>
          </cell>
        </row>
        <row r="535">
          <cell r="O535" t="str">
            <v>S/AGFZE/CU/DSC/406/2025-26</v>
          </cell>
          <cell r="U535">
            <v>18.489999999999998</v>
          </cell>
        </row>
        <row r="536">
          <cell r="O536" t="str">
            <v>S/AGFZE/CU/DSC/406/2025-26</v>
          </cell>
          <cell r="U536">
            <v>19.809999999999999</v>
          </cell>
        </row>
        <row r="537">
          <cell r="O537" t="str">
            <v>S/AGFZE/CU/DSC/406/2025-26</v>
          </cell>
          <cell r="U537">
            <v>19.05</v>
          </cell>
        </row>
        <row r="538">
          <cell r="O538" t="str">
            <v>S/AGFZE/CU/DSC/406/2025-26</v>
          </cell>
          <cell r="U538"/>
        </row>
        <row r="539">
          <cell r="O539" t="str">
            <v>S/AGFZE/CU/DSC/405/2025-26</v>
          </cell>
          <cell r="U539">
            <v>21.88</v>
          </cell>
        </row>
        <row r="540">
          <cell r="O540" t="str">
            <v>S/AGFZE/CU/DSC/405/2025-26</v>
          </cell>
          <cell r="U540">
            <v>20.440000000000001</v>
          </cell>
        </row>
        <row r="541">
          <cell r="O541" t="str">
            <v>S/AGFZE/CU/DSC/405/2025-26</v>
          </cell>
          <cell r="U541">
            <v>17.03</v>
          </cell>
        </row>
        <row r="542">
          <cell r="O542" t="str">
            <v>S/AGFZE/CU/DSC/405/2025-26</v>
          </cell>
          <cell r="U542">
            <v>21.03</v>
          </cell>
        </row>
        <row r="543">
          <cell r="O543" t="str">
            <v>S/AGFZE/CU/DSC/405/2025-26</v>
          </cell>
          <cell r="U543">
            <v>20.079999999999998</v>
          </cell>
        </row>
        <row r="544">
          <cell r="O544" t="str">
            <v>S/AGFZE/CU/TLM/003/2026-27</v>
          </cell>
          <cell r="U544">
            <v>20.13</v>
          </cell>
        </row>
        <row r="545">
          <cell r="O545" t="str">
            <v>S/AGFZE/CUZN/NH/455/2025-26</v>
          </cell>
          <cell r="U545">
            <v>18.34</v>
          </cell>
        </row>
        <row r="546">
          <cell r="O546" t="str">
            <v>S/AGFZE/CUZN/NH/455/2025-26</v>
          </cell>
          <cell r="U546">
            <v>18.940000000000001</v>
          </cell>
        </row>
        <row r="547">
          <cell r="O547" t="str">
            <v>S/AGFZE/CUZN/NH/455/2025-26</v>
          </cell>
          <cell r="U547"/>
        </row>
        <row r="548">
          <cell r="O548" t="str">
            <v>S/AGFZE/CU/NCIE/678/2025-26</v>
          </cell>
          <cell r="U548">
            <v>20.6</v>
          </cell>
        </row>
        <row r="549">
          <cell r="O549" t="str">
            <v>S/AGFZE/CU/NCIE/678/2025-26</v>
          </cell>
          <cell r="U549">
            <v>20.350000000000001</v>
          </cell>
        </row>
        <row r="550">
          <cell r="O550" t="str">
            <v>S/AGFZE/CU/NCIE/678/2025-26</v>
          </cell>
          <cell r="U550">
            <v>21.2</v>
          </cell>
        </row>
        <row r="551">
          <cell r="O551" t="str">
            <v>S/AGFZE/CU/NCIE/678/2025-26</v>
          </cell>
          <cell r="U551">
            <v>21.803999999999998</v>
          </cell>
        </row>
        <row r="552">
          <cell r="O552" t="str">
            <v>S/AGFZE/CU/NCIE/678/2025-26</v>
          </cell>
          <cell r="U552">
            <v>22.75</v>
          </cell>
        </row>
        <row r="553">
          <cell r="O553" t="str">
            <v>S/AGFZE/AL/RSM/700/2025-26</v>
          </cell>
          <cell r="U553">
            <v>20.51</v>
          </cell>
        </row>
        <row r="554">
          <cell r="O554" t="str">
            <v>S/AGFZE/AL/RSM/700/2025-26</v>
          </cell>
          <cell r="U554">
            <v>20.53</v>
          </cell>
        </row>
        <row r="555">
          <cell r="O555" t="str">
            <v>S/AGFZE/CU/DSC/703/2025-26</v>
          </cell>
          <cell r="U555">
            <v>20.91</v>
          </cell>
        </row>
        <row r="556">
          <cell r="O556" t="str">
            <v>S/AGFZE/CU/DSC/703/2025-26</v>
          </cell>
          <cell r="U556">
            <v>20.91</v>
          </cell>
        </row>
        <row r="557">
          <cell r="O557" t="str">
            <v>S/AGFZE/CU/DSC/703/2025-26</v>
          </cell>
          <cell r="U557">
            <v>18.8</v>
          </cell>
        </row>
        <row r="558">
          <cell r="O558" t="str">
            <v>S/AGFZE/CU/DSC/703/2025-26</v>
          </cell>
          <cell r="U558">
            <v>20.92</v>
          </cell>
        </row>
        <row r="559">
          <cell r="O559" t="str">
            <v>S/AGFZE/AL/SE/737/2025-26</v>
          </cell>
          <cell r="U559">
            <v>19.79</v>
          </cell>
        </row>
        <row r="560">
          <cell r="O560" t="str">
            <v>S/AGFZE/AL/SE/737/2025-26</v>
          </cell>
          <cell r="U560"/>
        </row>
        <row r="561">
          <cell r="O561" t="str">
            <v>S/AGFZE/AL/SE/737/2025-26</v>
          </cell>
          <cell r="U561"/>
        </row>
        <row r="562">
          <cell r="O562" t="str">
            <v>S/AGFZE/AL/SE/737/2025-26</v>
          </cell>
          <cell r="U562"/>
        </row>
        <row r="563">
          <cell r="O563" t="str">
            <v>S/AGFZE/AL/GMU/751/2025-26</v>
          </cell>
          <cell r="U563"/>
        </row>
        <row r="564">
          <cell r="O564" t="str">
            <v>S/AGFZE/AL/GMU/755/2025-26</v>
          </cell>
          <cell r="U564"/>
        </row>
        <row r="565">
          <cell r="O565" t="str">
            <v>S/AGFZE/CUZN/DSC/752/2025-26</v>
          </cell>
          <cell r="U565">
            <v>21.92</v>
          </cell>
        </row>
        <row r="566">
          <cell r="O566" t="str">
            <v>S/AGFZE/CUZN/DSC/752/2025-26</v>
          </cell>
          <cell r="U566">
            <v>21.01</v>
          </cell>
        </row>
        <row r="567">
          <cell r="O567" t="str">
            <v>S/AGFZE/CUZN/DSC/752/2025-26</v>
          </cell>
          <cell r="U567">
            <v>19.61</v>
          </cell>
        </row>
        <row r="568">
          <cell r="O568" t="str">
            <v>S/AGFZE/CUZN/DSC/752/2025-26</v>
          </cell>
          <cell r="U568">
            <v>22.37</v>
          </cell>
        </row>
        <row r="569">
          <cell r="O569" t="str">
            <v>S/AGFZE/CUZN/DSC/752/2025-26</v>
          </cell>
          <cell r="U569"/>
        </row>
        <row r="570">
          <cell r="O570" t="str">
            <v>S/AGFZE/CU/DSC/790/2025-26</v>
          </cell>
          <cell r="U570"/>
        </row>
        <row r="571">
          <cell r="O571" t="str">
            <v>S/AGFZE/CU/DSC/790/2025-26</v>
          </cell>
          <cell r="U571"/>
        </row>
        <row r="572">
          <cell r="O572" t="str">
            <v>S/AGFZE/CU/DSC/790/2025-26</v>
          </cell>
          <cell r="U572"/>
        </row>
        <row r="573">
          <cell r="O573" t="str">
            <v>S/AGFZE/CU/DSC/790/2025-26</v>
          </cell>
          <cell r="U573"/>
        </row>
        <row r="574">
          <cell r="O574" t="str">
            <v>S/AGFZE/CU/DSC/792/2025-26</v>
          </cell>
          <cell r="U574">
            <v>20.98</v>
          </cell>
        </row>
        <row r="575">
          <cell r="O575" t="str">
            <v>S/AGFZE/CU/DSC/792/2025-26</v>
          </cell>
          <cell r="U575"/>
        </row>
        <row r="576">
          <cell r="O576" t="str">
            <v>S/AGFZE/CU/NS/791/2025-26</v>
          </cell>
          <cell r="U576"/>
        </row>
        <row r="577">
          <cell r="O577" t="str">
            <v>S/AGFZE/CU/NS/791/2025-26</v>
          </cell>
          <cell r="U577"/>
        </row>
        <row r="578">
          <cell r="O578" t="str">
            <v>S/AGFZE/CU/NS/791/2025-26</v>
          </cell>
          <cell r="U578"/>
        </row>
        <row r="579">
          <cell r="O579" t="str">
            <v>S/AGFZE/CU/NCI/004/2026-27</v>
          </cell>
          <cell r="U579">
            <v>20.99</v>
          </cell>
        </row>
        <row r="580">
          <cell r="O580"/>
          <cell r="U580"/>
        </row>
        <row r="581">
          <cell r="O581" t="str">
            <v>S/AGFZE/CU/NS/002/2026-27</v>
          </cell>
          <cell r="U581"/>
        </row>
        <row r="582">
          <cell r="O582" t="str">
            <v>S/AGFZE/CU/NS/002/2026-27</v>
          </cell>
          <cell r="U582"/>
        </row>
        <row r="583">
          <cell r="O583" t="str">
            <v>S/AGFZE/CU/DSC/001/2026-27</v>
          </cell>
          <cell r="U583"/>
        </row>
        <row r="584">
          <cell r="O584"/>
          <cell r="U584"/>
        </row>
        <row r="585">
          <cell r="O585"/>
          <cell r="U585"/>
        </row>
        <row r="586">
          <cell r="O586"/>
          <cell r="U586"/>
        </row>
        <row r="587">
          <cell r="O587"/>
          <cell r="U587"/>
        </row>
        <row r="588">
          <cell r="O588"/>
          <cell r="U588"/>
        </row>
        <row r="589">
          <cell r="O589"/>
          <cell r="U589"/>
        </row>
        <row r="590">
          <cell r="O590"/>
          <cell r="U590"/>
        </row>
        <row r="591">
          <cell r="O591"/>
          <cell r="U591"/>
        </row>
        <row r="592">
          <cell r="O592"/>
          <cell r="U592"/>
        </row>
        <row r="593">
          <cell r="O593"/>
          <cell r="U593"/>
        </row>
        <row r="594">
          <cell r="O594"/>
          <cell r="U594"/>
        </row>
        <row r="595">
          <cell r="O595"/>
          <cell r="U595"/>
        </row>
        <row r="596">
          <cell r="O596"/>
          <cell r="U596"/>
        </row>
        <row r="597">
          <cell r="O597"/>
          <cell r="U597"/>
        </row>
        <row r="598">
          <cell r="O598"/>
          <cell r="U598"/>
        </row>
        <row r="599">
          <cell r="O599"/>
          <cell r="U599"/>
        </row>
        <row r="600">
          <cell r="O600"/>
          <cell r="U600"/>
        </row>
        <row r="601">
          <cell r="O601"/>
          <cell r="U601"/>
        </row>
        <row r="602">
          <cell r="O602"/>
          <cell r="U602"/>
        </row>
        <row r="603">
          <cell r="O603"/>
          <cell r="U603"/>
        </row>
        <row r="604">
          <cell r="O604"/>
          <cell r="U604"/>
        </row>
        <row r="605">
          <cell r="O605"/>
          <cell r="U605"/>
        </row>
        <row r="606">
          <cell r="O606"/>
          <cell r="U606"/>
        </row>
        <row r="607">
          <cell r="O607"/>
          <cell r="U607"/>
        </row>
        <row r="608">
          <cell r="O608"/>
          <cell r="U608"/>
        </row>
        <row r="609">
          <cell r="O609"/>
          <cell r="U609"/>
        </row>
        <row r="610">
          <cell r="O610"/>
          <cell r="U610"/>
        </row>
        <row r="611">
          <cell r="O611" t="str">
            <v>S/AGFZE/MIX/MI/349/2025-26</v>
          </cell>
          <cell r="U611">
            <v>18.87</v>
          </cell>
        </row>
        <row r="612">
          <cell r="O612" t="str">
            <v>S/AGFZE/MIX/MI/349/2025-26</v>
          </cell>
          <cell r="U612">
            <v>19.686</v>
          </cell>
        </row>
        <row r="613">
          <cell r="O613" t="str">
            <v>S/AGFZE/MIX/MI/349/2025-26</v>
          </cell>
          <cell r="U613">
            <v>19.163</v>
          </cell>
        </row>
        <row r="614">
          <cell r="O614" t="str">
            <v>S/AGFZE/MIX/GS/350/2025-26</v>
          </cell>
          <cell r="U614">
            <v>20.469000000000001</v>
          </cell>
        </row>
        <row r="615">
          <cell r="O615" t="str">
            <v>S/AGFZE/AL/ASP/351/2025-26</v>
          </cell>
          <cell r="U615">
            <v>22.690999999999999</v>
          </cell>
        </row>
        <row r="616">
          <cell r="O616" t="str">
            <v>S/AGFZE/AL/ASP/351/2025-26</v>
          </cell>
          <cell r="U616">
            <v>22.715</v>
          </cell>
        </row>
        <row r="617">
          <cell r="O617" t="str">
            <v>S/AGFZE/AL/SAP/352/2025-26</v>
          </cell>
          <cell r="U617">
            <v>20.957999999999998</v>
          </cell>
        </row>
        <row r="618">
          <cell r="O618" t="str">
            <v>S/AGFZE/AL/SAP/353/2025-26</v>
          </cell>
          <cell r="U618">
            <v>17.314</v>
          </cell>
        </row>
        <row r="619">
          <cell r="O619" t="str">
            <v>S/AGFZE/AL/SAP/353/2025-26</v>
          </cell>
          <cell r="U619">
            <v>2.923</v>
          </cell>
        </row>
        <row r="620">
          <cell r="O620" t="str">
            <v>S/AGFZE/MIX/ATC/354/2025-26</v>
          </cell>
          <cell r="U620"/>
        </row>
        <row r="621">
          <cell r="O621" t="str">
            <v>S/AGFZE/AL/SBA/355/2025-26</v>
          </cell>
          <cell r="U621">
            <v>22.5</v>
          </cell>
        </row>
        <row r="622">
          <cell r="O622" t="str">
            <v>S/AGFZE/AL/SBA/355/2025-26</v>
          </cell>
          <cell r="U622">
            <v>22.5</v>
          </cell>
        </row>
        <row r="623">
          <cell r="O623" t="str">
            <v>S/AGFZE/AL/SBA/355/2025-26</v>
          </cell>
          <cell r="U623">
            <v>25.105</v>
          </cell>
        </row>
        <row r="624">
          <cell r="O624" t="str">
            <v>S/AGFZE/AL/SBM/346/2025-26</v>
          </cell>
          <cell r="U624">
            <v>19.341000000000001</v>
          </cell>
        </row>
        <row r="625">
          <cell r="O625" t="str">
            <v>S/AGFZE/AL/SBM/346/2025-26</v>
          </cell>
          <cell r="U625">
            <v>20.547999999999998</v>
          </cell>
        </row>
        <row r="626">
          <cell r="O626" t="str">
            <v>S/AGFZE/AL/SBM/346/2025-26</v>
          </cell>
          <cell r="U626">
            <v>20.23</v>
          </cell>
        </row>
        <row r="627">
          <cell r="O627" t="str">
            <v>S/AGFZE/AL/RAL/357/2025-26</v>
          </cell>
          <cell r="U627">
            <v>18.614999999999998</v>
          </cell>
        </row>
        <row r="628">
          <cell r="O628" t="str">
            <v>S/AGFZE/MIX/MI/358/2025-26</v>
          </cell>
          <cell r="U628">
            <v>20.879000000000001</v>
          </cell>
        </row>
        <row r="629">
          <cell r="O629" t="str">
            <v>S/AGFZE/MIX/MI/358/2025-26</v>
          </cell>
          <cell r="U629">
            <v>21.609000000000002</v>
          </cell>
        </row>
        <row r="630">
          <cell r="O630" t="str">
            <v>S/AGFZE/MIX/MI/358/2025-26</v>
          </cell>
          <cell r="U630">
            <v>20.946999999999999</v>
          </cell>
        </row>
        <row r="631">
          <cell r="O631" t="str">
            <v>S/AGFZE/MIX/MI/358/2025-26</v>
          </cell>
          <cell r="U631">
            <v>19.204999999999998</v>
          </cell>
        </row>
        <row r="632">
          <cell r="O632" t="str">
            <v>S/AGFZE/MIX/MI/358/2025-26</v>
          </cell>
          <cell r="U632">
            <v>20.675000000000001</v>
          </cell>
        </row>
        <row r="633">
          <cell r="O633" t="str">
            <v>S/AGFZE/MIX/SST/359/2025-26</v>
          </cell>
          <cell r="U633">
            <v>18.407</v>
          </cell>
        </row>
        <row r="634">
          <cell r="O634" t="str">
            <v>S/AGFZE/MIX/SST/359/2025-26</v>
          </cell>
          <cell r="U634">
            <v>17.491</v>
          </cell>
        </row>
        <row r="635">
          <cell r="O635" t="str">
            <v>S/AGFZE/MIX/MI/360/2025-26</v>
          </cell>
          <cell r="U635">
            <v>22.698</v>
          </cell>
        </row>
        <row r="636">
          <cell r="O636" t="str">
            <v>S/AGFZE/MIX/MI/360/2025-26</v>
          </cell>
          <cell r="U636">
            <v>23.931999999999999</v>
          </cell>
        </row>
        <row r="637">
          <cell r="O637" t="str">
            <v>S/AGFZE/MIX/MI/360/2025-26</v>
          </cell>
          <cell r="U637">
            <v>21.809000000000001</v>
          </cell>
        </row>
        <row r="638">
          <cell r="O638" t="str">
            <v>S/AGFZE/AL/NDM/356/2025-26</v>
          </cell>
          <cell r="U638">
            <v>20.056999999999999</v>
          </cell>
        </row>
        <row r="639">
          <cell r="O639" t="str">
            <v>S/AGFZE/AL/PRL/361/2025-26</v>
          </cell>
          <cell r="U639">
            <v>22.209</v>
          </cell>
        </row>
        <row r="640">
          <cell r="O640" t="str">
            <v>S/AGFZE/AL/PRL/361/2025-26</v>
          </cell>
          <cell r="U640">
            <v>22.474</v>
          </cell>
        </row>
        <row r="641">
          <cell r="O641"/>
          <cell r="U641"/>
        </row>
        <row r="642">
          <cell r="O642"/>
          <cell r="U642"/>
        </row>
        <row r="643">
          <cell r="O643"/>
          <cell r="U643"/>
        </row>
        <row r="644">
          <cell r="O644"/>
          <cell r="U644"/>
        </row>
        <row r="645">
          <cell r="O645"/>
          <cell r="U645"/>
        </row>
        <row r="646">
          <cell r="O646"/>
          <cell r="U646"/>
        </row>
        <row r="647">
          <cell r="O647"/>
          <cell r="U647"/>
        </row>
        <row r="648">
          <cell r="O648"/>
          <cell r="U648"/>
        </row>
        <row r="649">
          <cell r="O649"/>
          <cell r="U649"/>
        </row>
        <row r="650">
          <cell r="O650"/>
          <cell r="U650"/>
        </row>
        <row r="651">
          <cell r="O651" t="str">
            <v>S/AGFZE/AL/RSM/667/2025-26</v>
          </cell>
          <cell r="U651">
            <v>19.321999999999999</v>
          </cell>
        </row>
        <row r="652">
          <cell r="O652" t="str">
            <v>S/AGFZE/CUZN/DSC/708/2025-26</v>
          </cell>
          <cell r="U652">
            <v>20.5</v>
          </cell>
        </row>
        <row r="653">
          <cell r="O653" t="str">
            <v>S/AGFZE/AL/SSG/734/2025-26</v>
          </cell>
          <cell r="U653">
            <v>18.88</v>
          </cell>
        </row>
        <row r="654">
          <cell r="O654" t="str">
            <v>S/AGFZE/AL/SSG/734/2025-26</v>
          </cell>
          <cell r="U654">
            <v>21.55</v>
          </cell>
        </row>
        <row r="655">
          <cell r="O655" t="str">
            <v>S/AGFZE/AL/SSG/734/2025-26</v>
          </cell>
          <cell r="U655"/>
        </row>
        <row r="656">
          <cell r="O656" t="str">
            <v>S/AGFZE/AL/SSG/734/2025-26</v>
          </cell>
          <cell r="U656"/>
        </row>
        <row r="657">
          <cell r="O657" t="str">
            <v>S/AGFZE/CU/DSC/739/2025-26</v>
          </cell>
          <cell r="U657">
            <v>20.53</v>
          </cell>
        </row>
        <row r="658">
          <cell r="O658" t="str">
            <v>S/AGFZE/CU/DSC/739/2025-26</v>
          </cell>
          <cell r="U658">
            <v>19.43</v>
          </cell>
        </row>
        <row r="659">
          <cell r="O659" t="str">
            <v>S/AGFZE/CU/DSC/762/2025-26</v>
          </cell>
          <cell r="U659">
            <v>21.13</v>
          </cell>
        </row>
        <row r="660">
          <cell r="O660" t="str">
            <v>S/AGFZE/CU/DSC/762/2025-26</v>
          </cell>
          <cell r="U660">
            <v>22.52</v>
          </cell>
        </row>
        <row r="661">
          <cell r="O661" t="str">
            <v>S/AGFZE/CU/DSC/787/2025-26</v>
          </cell>
          <cell r="U661">
            <v>19.8</v>
          </cell>
        </row>
        <row r="662">
          <cell r="O662" t="str">
            <v>S/AGFZE/CU/DSC/787/2025-26</v>
          </cell>
          <cell r="U662"/>
        </row>
        <row r="663">
          <cell r="O663" t="str">
            <v>S/AGFZE/CU/DSC/787/2025-26</v>
          </cell>
          <cell r="U663"/>
        </row>
        <row r="664">
          <cell r="O664" t="str">
            <v>S/AGFZE/AL/SSG/024/2026-27</v>
          </cell>
          <cell r="U664"/>
        </row>
        <row r="665">
          <cell r="O665" t="str">
            <v>S/AGFZE/AL/SSG/024/2026-27</v>
          </cell>
          <cell r="U665"/>
        </row>
        <row r="666">
          <cell r="O666"/>
          <cell r="U666"/>
        </row>
        <row r="667">
          <cell r="O667"/>
          <cell r="U667"/>
        </row>
        <row r="668">
          <cell r="O668"/>
          <cell r="U668"/>
        </row>
        <row r="669">
          <cell r="O669"/>
          <cell r="U669"/>
        </row>
        <row r="670">
          <cell r="O670"/>
          <cell r="U670"/>
        </row>
        <row r="671">
          <cell r="O671"/>
          <cell r="U671"/>
        </row>
        <row r="672">
          <cell r="O672"/>
          <cell r="U672"/>
        </row>
        <row r="673">
          <cell r="O673"/>
          <cell r="U673"/>
        </row>
        <row r="674">
          <cell r="O674"/>
          <cell r="U674"/>
        </row>
        <row r="675">
          <cell r="O675"/>
          <cell r="U675"/>
        </row>
        <row r="676">
          <cell r="O676"/>
          <cell r="U676"/>
        </row>
        <row r="677">
          <cell r="O677"/>
          <cell r="U677"/>
        </row>
        <row r="678">
          <cell r="O678" t="str">
            <v>S/AGFZE/CU/DSC/441/2025-26</v>
          </cell>
          <cell r="U678">
            <v>19.649999999999999</v>
          </cell>
        </row>
        <row r="679">
          <cell r="O679" t="str">
            <v>S/AGFZE/CU/DSC/441/2025-26</v>
          </cell>
          <cell r="U679">
            <v>19.47</v>
          </cell>
        </row>
        <row r="680">
          <cell r="O680" t="str">
            <v>S/AGFZE/CU/DSC/441/2025-26</v>
          </cell>
          <cell r="U680">
            <v>19.54</v>
          </cell>
        </row>
        <row r="681">
          <cell r="O681" t="str">
            <v>S/AGFZE/CU/DSC/441/2025-26</v>
          </cell>
          <cell r="U681">
            <v>20.95</v>
          </cell>
        </row>
        <row r="682">
          <cell r="O682" t="str">
            <v>S/AGFZE/CU/DSC/441/2025-26</v>
          </cell>
          <cell r="U682">
            <v>19.54</v>
          </cell>
        </row>
        <row r="683">
          <cell r="O683" t="str">
            <v>S/AGFZE/CU/DSC/441/2025-26</v>
          </cell>
          <cell r="U683">
            <v>20.23</v>
          </cell>
        </row>
        <row r="684">
          <cell r="O684" t="str">
            <v>S/AGFZE/CU/DSC/441/2025-26</v>
          </cell>
          <cell r="U684">
            <v>19</v>
          </cell>
        </row>
        <row r="685">
          <cell r="O685" t="str">
            <v>S/AGFZE/CU/DSC/441/2025-26</v>
          </cell>
          <cell r="U685">
            <v>20.25</v>
          </cell>
        </row>
        <row r="686">
          <cell r="O686" t="str">
            <v>S/AGFZE/CU/DSC/441/2025-26</v>
          </cell>
          <cell r="U686">
            <v>19.678000000000001</v>
          </cell>
        </row>
        <row r="687">
          <cell r="O687" t="str">
            <v>S/AGFZE/CU/DSC/441/2025-26</v>
          </cell>
          <cell r="U687">
            <v>19.806000000000001</v>
          </cell>
        </row>
        <row r="688">
          <cell r="O688" t="str">
            <v>S/AGFZE/CU/DSC/441/2025-26</v>
          </cell>
          <cell r="U688">
            <v>20.82</v>
          </cell>
        </row>
        <row r="689">
          <cell r="O689" t="str">
            <v>S/AGFZE/CU/DSC/441/2025-26</v>
          </cell>
          <cell r="U689">
            <v>21.67</v>
          </cell>
        </row>
        <row r="690">
          <cell r="O690" t="str">
            <v>S/AGFZE/CU/CPL/489/2025-26</v>
          </cell>
          <cell r="U690">
            <v>20.83</v>
          </cell>
        </row>
        <row r="691">
          <cell r="O691" t="str">
            <v>S/AGFZE/CU/CPL/489/2025-26</v>
          </cell>
          <cell r="U691">
            <v>20.9</v>
          </cell>
        </row>
        <row r="692">
          <cell r="O692" t="str">
            <v>S/AGFZE/CU/CPL/489/2025-26</v>
          </cell>
          <cell r="U692">
            <v>20.77</v>
          </cell>
        </row>
        <row r="693">
          <cell r="O693" t="str">
            <v>S/AGFZE/CU/SIM/679/2025-26</v>
          </cell>
          <cell r="U693">
            <v>20.38</v>
          </cell>
        </row>
        <row r="694">
          <cell r="O694" t="str">
            <v>S/AGFZE/CU/CPL/492/2025-26</v>
          </cell>
          <cell r="U694">
            <v>20.925999999999998</v>
          </cell>
        </row>
        <row r="695">
          <cell r="O695" t="str">
            <v>S/AGFZE/CU/RRW/712/2025-26</v>
          </cell>
          <cell r="U695">
            <v>20.608000000000001</v>
          </cell>
        </row>
        <row r="696">
          <cell r="O696" t="str">
            <v>S/AGFZE/CU/NTF/640/2025-26</v>
          </cell>
          <cell r="U696">
            <v>20.2</v>
          </cell>
        </row>
        <row r="697">
          <cell r="O697" t="str">
            <v>S/AGFZE/CU/NTF/640/2025-26</v>
          </cell>
          <cell r="U697">
            <v>19.399999999999999</v>
          </cell>
        </row>
        <row r="698">
          <cell r="O698" t="str">
            <v>S/AGFZE/CU/SAP/659/2025-26</v>
          </cell>
          <cell r="U698">
            <v>19.62</v>
          </cell>
        </row>
        <row r="699">
          <cell r="O699" t="str">
            <v>S/AGFZE/CU/SAP/659/2025-26</v>
          </cell>
          <cell r="U699">
            <v>20.312000000000001</v>
          </cell>
        </row>
        <row r="700">
          <cell r="O700" t="str">
            <v>S/AGFZE/CU/DSC/677/2025-26</v>
          </cell>
          <cell r="U700">
            <v>20.135999999999999</v>
          </cell>
        </row>
        <row r="701">
          <cell r="O701" t="str">
            <v>S/AGFZE/CU/DSC/677/2025-26</v>
          </cell>
          <cell r="U701">
            <v>19.87</v>
          </cell>
        </row>
        <row r="702">
          <cell r="O702" t="str">
            <v>S/AGFZE/CU/DSC/677/2025-26</v>
          </cell>
          <cell r="U702">
            <v>20.27</v>
          </cell>
        </row>
        <row r="703">
          <cell r="O703" t="str">
            <v>S/AGFZE/CU/DSC/677/2025-26</v>
          </cell>
          <cell r="U703">
            <v>19.98</v>
          </cell>
        </row>
        <row r="704">
          <cell r="O704" t="str">
            <v>S/AGFZE/CU/CPL/681/2025-26</v>
          </cell>
          <cell r="U704">
            <v>19.95</v>
          </cell>
        </row>
        <row r="705">
          <cell r="O705" t="str">
            <v>S/AGFZE/CU/CPL/681/2025-26</v>
          </cell>
          <cell r="U705"/>
        </row>
        <row r="706">
          <cell r="O706" t="str">
            <v>S/AGFZE/CU/DSC/721/2025-26</v>
          </cell>
          <cell r="U706">
            <v>21.577999999999999</v>
          </cell>
        </row>
        <row r="707">
          <cell r="O707" t="str">
            <v>S/AGFZE/CU/DSC/721/2025-26</v>
          </cell>
          <cell r="U707">
            <v>20.321999999999999</v>
          </cell>
        </row>
        <row r="708">
          <cell r="O708" t="str">
            <v>S/AGFZE/CU/DSC/683/2025-26</v>
          </cell>
          <cell r="U708">
            <v>20.28</v>
          </cell>
        </row>
        <row r="709">
          <cell r="O709" t="str">
            <v>S/AGFZE/CU/DSC/683/2025-26</v>
          </cell>
          <cell r="U709">
            <v>20.95</v>
          </cell>
        </row>
        <row r="710">
          <cell r="O710" t="str">
            <v>S/AGFZE/CU/DSC/683/2025-26</v>
          </cell>
          <cell r="U710">
            <v>19.100000000000001</v>
          </cell>
        </row>
        <row r="711">
          <cell r="O711" t="str">
            <v>S/AGFZE/CU/DSC/683/2025-26</v>
          </cell>
          <cell r="U711">
            <v>20.04</v>
          </cell>
        </row>
        <row r="712">
          <cell r="O712" t="str">
            <v>S/AGFZE/CU/DSC/683/2025-26</v>
          </cell>
          <cell r="U712">
            <v>19.712</v>
          </cell>
        </row>
        <row r="713">
          <cell r="O713" t="str">
            <v>S/AGFZE/CU/DSC/683/2025-26</v>
          </cell>
          <cell r="U713"/>
        </row>
        <row r="714">
          <cell r="O714" t="str">
            <v>S/AGFZE/CU/CC/690/2025-26</v>
          </cell>
          <cell r="U714">
            <v>20.11</v>
          </cell>
        </row>
        <row r="715">
          <cell r="O715" t="str">
            <v>S/AGFZE/CU/CC/690/2025-26</v>
          </cell>
          <cell r="U715">
            <v>19.77</v>
          </cell>
        </row>
        <row r="716">
          <cell r="O716" t="str">
            <v>S/AGFZE/CU/VWL/697/2025-26</v>
          </cell>
          <cell r="U716">
            <v>19.649999999999999</v>
          </cell>
        </row>
        <row r="717">
          <cell r="O717" t="str">
            <v>S/AGFZE/CU/RRW/711/2025-26</v>
          </cell>
          <cell r="U717">
            <v>20.18</v>
          </cell>
        </row>
        <row r="718">
          <cell r="O718" t="str">
            <v>S/AGFZE/CU/RRW/711/2025-26</v>
          </cell>
          <cell r="U718">
            <v>20.58</v>
          </cell>
        </row>
        <row r="719">
          <cell r="O719" t="str">
            <v>S/AGFZE/CU/RRW/711/2025-26</v>
          </cell>
          <cell r="U719">
            <v>19.52</v>
          </cell>
        </row>
        <row r="720">
          <cell r="O720" t="str">
            <v>S/AGFZE/CU/CPL/719/2025-26</v>
          </cell>
          <cell r="U720"/>
        </row>
        <row r="721">
          <cell r="O721" t="str">
            <v>S/AGFZE/CU/RRW/718/2025-26</v>
          </cell>
          <cell r="U721">
            <v>20.18</v>
          </cell>
        </row>
        <row r="722">
          <cell r="O722" t="str">
            <v>S/AGFZE/CU/RRW/718/2025-26</v>
          </cell>
          <cell r="U722"/>
        </row>
        <row r="723">
          <cell r="O723" t="str">
            <v>S/AGFZE/CU/DSC/731/2025-26</v>
          </cell>
          <cell r="U723">
            <v>19.321999999999999</v>
          </cell>
        </row>
        <row r="724">
          <cell r="O724" t="str">
            <v>S/AGFZE/CU/DSC/731/2025-26</v>
          </cell>
          <cell r="U724">
            <v>20.494</v>
          </cell>
        </row>
        <row r="725">
          <cell r="O725" t="str">
            <v>S/AGFZE/CU/DSC/731/2025-26</v>
          </cell>
          <cell r="U725">
            <v>21.28</v>
          </cell>
        </row>
        <row r="726">
          <cell r="O726" t="str">
            <v>S/AGFZE/CU/DSC/731/2025-26</v>
          </cell>
          <cell r="U726">
            <v>19.262</v>
          </cell>
        </row>
        <row r="727">
          <cell r="O727" t="str">
            <v>S/AGFZE/CUZN/NJI/732/2025-26</v>
          </cell>
          <cell r="U727">
            <v>20.538</v>
          </cell>
        </row>
        <row r="728">
          <cell r="O728" t="str">
            <v>S/AGFZE/CUZN/NJI/732/2025-26</v>
          </cell>
          <cell r="U728">
            <v>22.138000000000002</v>
          </cell>
        </row>
        <row r="729">
          <cell r="O729" t="str">
            <v>S/AGFZE/CU/NCI/735/2025-26</v>
          </cell>
          <cell r="U729"/>
        </row>
        <row r="730">
          <cell r="O730" t="str">
            <v>S/AGFZE/CU/NS/736/2025-26</v>
          </cell>
          <cell r="U730">
            <v>19.751999999999999</v>
          </cell>
        </row>
        <row r="731">
          <cell r="O731" t="str">
            <v>S/AGFZE/CU/NS/740/2025-26</v>
          </cell>
          <cell r="U731"/>
        </row>
        <row r="732">
          <cell r="O732" t="str">
            <v>S/AGFZE/CU/NS/738/2025-26</v>
          </cell>
          <cell r="U732">
            <v>22.146000000000001</v>
          </cell>
        </row>
        <row r="733">
          <cell r="O733" t="str">
            <v>S/AGFZE/CU/NS/738/2025-26</v>
          </cell>
          <cell r="U733"/>
        </row>
        <row r="734">
          <cell r="O734" t="str">
            <v>S/AGFZE/CUZN/NSC/750/2025-26</v>
          </cell>
          <cell r="U734">
            <v>24.364000000000001</v>
          </cell>
        </row>
        <row r="735">
          <cell r="O735" t="str">
            <v>S/AGFZE/CUZN/NSC/750/2025-26</v>
          </cell>
          <cell r="U735"/>
        </row>
        <row r="736">
          <cell r="O736"/>
          <cell r="U736"/>
        </row>
        <row r="737">
          <cell r="O737"/>
          <cell r="U737"/>
        </row>
        <row r="738">
          <cell r="O738"/>
          <cell r="U738"/>
        </row>
        <row r="739">
          <cell r="O739"/>
          <cell r="U739"/>
        </row>
        <row r="740">
          <cell r="O740"/>
          <cell r="U740"/>
        </row>
        <row r="741">
          <cell r="O741"/>
          <cell r="U741"/>
        </row>
        <row r="742">
          <cell r="O742"/>
          <cell r="U742"/>
        </row>
        <row r="743">
          <cell r="O743"/>
          <cell r="U743"/>
        </row>
        <row r="744">
          <cell r="O744"/>
          <cell r="U744"/>
        </row>
        <row r="745">
          <cell r="O745"/>
          <cell r="U745"/>
        </row>
        <row r="746">
          <cell r="O746"/>
          <cell r="U746"/>
        </row>
        <row r="747">
          <cell r="O747"/>
          <cell r="U747"/>
        </row>
        <row r="748">
          <cell r="O748"/>
          <cell r="U748"/>
        </row>
        <row r="749">
          <cell r="O749"/>
          <cell r="U749"/>
        </row>
        <row r="750">
          <cell r="O750"/>
          <cell r="U750"/>
        </row>
        <row r="751">
          <cell r="O751"/>
          <cell r="U751"/>
        </row>
        <row r="752">
          <cell r="O752"/>
          <cell r="U752"/>
        </row>
        <row r="753">
          <cell r="O753"/>
          <cell r="U753"/>
        </row>
        <row r="754">
          <cell r="O754"/>
          <cell r="U754"/>
        </row>
        <row r="755">
          <cell r="O755"/>
          <cell r="U755"/>
        </row>
        <row r="756">
          <cell r="O756"/>
          <cell r="U756"/>
        </row>
        <row r="757">
          <cell r="O757"/>
          <cell r="U757"/>
        </row>
        <row r="758">
          <cell r="O758"/>
          <cell r="U758"/>
        </row>
        <row r="759">
          <cell r="O759"/>
          <cell r="U759"/>
        </row>
        <row r="760">
          <cell r="O760" t="str">
            <v>S/AGFZE/CU/WCL/466/2025-26</v>
          </cell>
          <cell r="U760">
            <v>19.765999999999998</v>
          </cell>
        </row>
        <row r="761">
          <cell r="O761" t="str">
            <v>S/AGFZE/CU/WCL/466/2025-26</v>
          </cell>
          <cell r="U761">
            <v>19.786000000000001</v>
          </cell>
        </row>
        <row r="762">
          <cell r="O762" t="str">
            <v>S/AGFZE/CU/KNK/784/2025-26</v>
          </cell>
          <cell r="U762">
            <v>19.940000000000001</v>
          </cell>
        </row>
        <row r="763">
          <cell r="O763" t="str">
            <v>S/AGFZE/CU/KNK/784/2025-26</v>
          </cell>
          <cell r="U763">
            <v>19.940000000000001</v>
          </cell>
        </row>
        <row r="764">
          <cell r="O764" t="str">
            <v>S/AGFZE/CU/WCL/466/2025-26</v>
          </cell>
          <cell r="U764">
            <v>20.952000000000002</v>
          </cell>
        </row>
        <row r="765">
          <cell r="O765" t="str">
            <v>S/AGFZE/CU/WCL/466/2025-26</v>
          </cell>
          <cell r="U765"/>
        </row>
        <row r="766">
          <cell r="O766" t="str">
            <v>S/AGFZE/CU/NS/048/2026-27</v>
          </cell>
          <cell r="U766">
            <v>24.245999999999999</v>
          </cell>
        </row>
        <row r="767">
          <cell r="O767" t="str">
            <v>S/AGFZE/CU/NS/048/2026-27</v>
          </cell>
          <cell r="U767">
            <v>23.942</v>
          </cell>
        </row>
        <row r="768">
          <cell r="O768"/>
          <cell r="U768"/>
        </row>
        <row r="769">
          <cell r="O769"/>
          <cell r="U769"/>
        </row>
        <row r="770">
          <cell r="O770"/>
          <cell r="U770"/>
        </row>
        <row r="771">
          <cell r="O771"/>
          <cell r="U771"/>
        </row>
        <row r="772">
          <cell r="O772"/>
          <cell r="U772"/>
        </row>
        <row r="773">
          <cell r="O773"/>
          <cell r="U773"/>
        </row>
        <row r="774">
          <cell r="O774"/>
          <cell r="U774"/>
        </row>
        <row r="775">
          <cell r="O775"/>
          <cell r="U775"/>
        </row>
        <row r="776">
          <cell r="O776"/>
          <cell r="U776"/>
        </row>
        <row r="777">
          <cell r="O777"/>
          <cell r="U777"/>
        </row>
        <row r="778">
          <cell r="O778"/>
          <cell r="U778"/>
        </row>
        <row r="779">
          <cell r="O779"/>
          <cell r="U779"/>
        </row>
        <row r="780">
          <cell r="O780"/>
          <cell r="U780"/>
        </row>
        <row r="781">
          <cell r="O781"/>
          <cell r="U781"/>
        </row>
        <row r="782">
          <cell r="O782"/>
          <cell r="U782"/>
        </row>
        <row r="783">
          <cell r="O783"/>
          <cell r="U783"/>
        </row>
        <row r="784">
          <cell r="O784"/>
          <cell r="U784"/>
        </row>
        <row r="785">
          <cell r="O785"/>
          <cell r="U785"/>
        </row>
        <row r="786">
          <cell r="O786"/>
          <cell r="U786"/>
        </row>
        <row r="787">
          <cell r="O787" t="str">
            <v>S/AGFZE/AL/SAP/383/2025-26</v>
          </cell>
          <cell r="U787">
            <v>16.734999999999999</v>
          </cell>
        </row>
        <row r="788">
          <cell r="O788" t="str">
            <v>S/AGFZE/AL/VAL/384/2025-26</v>
          </cell>
          <cell r="U788">
            <v>24</v>
          </cell>
        </row>
        <row r="789">
          <cell r="O789" t="str">
            <v>S/AGFZE/AL/RIP/385/2025-26</v>
          </cell>
          <cell r="U789">
            <v>20.100000000000001</v>
          </cell>
        </row>
        <row r="790">
          <cell r="O790" t="str">
            <v>S/AGFZE/AL/BMJ/381/2025-26</v>
          </cell>
          <cell r="U790">
            <v>21.21</v>
          </cell>
        </row>
        <row r="791">
          <cell r="O791" t="str">
            <v>S/AGFZE/AL/BMJ/380/2025-26</v>
          </cell>
          <cell r="U791">
            <v>23</v>
          </cell>
        </row>
        <row r="792">
          <cell r="O792" t="str">
            <v>S/AGFZE/AL/HMC/382/2025-26</v>
          </cell>
          <cell r="U792">
            <v>21.54</v>
          </cell>
        </row>
        <row r="793">
          <cell r="O793" t="str">
            <v>S/AGFZE/AL/HMC/382/2025-26</v>
          </cell>
          <cell r="U793">
            <v>20.954999999999998</v>
          </cell>
        </row>
        <row r="794">
          <cell r="O794" t="str">
            <v>S/AGFZE/AL/HMC/382/2025-26</v>
          </cell>
          <cell r="U794">
            <v>21.51</v>
          </cell>
        </row>
        <row r="795">
          <cell r="O795" t="str">
            <v>S/AGFZE/AL/HMC/382/2025-26</v>
          </cell>
          <cell r="U795">
            <v>21.03</v>
          </cell>
        </row>
        <row r="796">
          <cell r="O796" t="str">
            <v>S/AGFZE/AL/HMC/382/2025-26</v>
          </cell>
          <cell r="U796">
            <v>19.844999999999999</v>
          </cell>
        </row>
        <row r="797">
          <cell r="O797" t="str">
            <v>S/AGFZE/AL/HMC/382/2025-26</v>
          </cell>
          <cell r="U797">
            <v>20.225000000000001</v>
          </cell>
        </row>
        <row r="798">
          <cell r="O798" t="str">
            <v>S/AGFZE/AL/HMC/382/2025-26</v>
          </cell>
          <cell r="U798">
            <v>21.5</v>
          </cell>
        </row>
        <row r="799">
          <cell r="O799" t="str">
            <v>S/AGFZE/AL/HMC/382/2025-26</v>
          </cell>
          <cell r="U799">
            <v>21.5</v>
          </cell>
        </row>
        <row r="800">
          <cell r="O800" t="str">
            <v>S/AGFZE/AL/HMC/382/2025-26</v>
          </cell>
          <cell r="U800">
            <v>21.51</v>
          </cell>
        </row>
        <row r="801">
          <cell r="O801" t="str">
            <v>S/AGFZE/AL/AIL/386/2025-26</v>
          </cell>
          <cell r="U801">
            <v>24.04</v>
          </cell>
        </row>
        <row r="802">
          <cell r="O802" t="str">
            <v>S/AGFZE/AL/AIL/387/2025-26</v>
          </cell>
          <cell r="U802">
            <v>23.03</v>
          </cell>
        </row>
        <row r="803">
          <cell r="O803" t="str">
            <v>S/AGFZE/AL/AML/388/2025-26</v>
          </cell>
          <cell r="U803">
            <v>22.13</v>
          </cell>
        </row>
        <row r="804">
          <cell r="O804" t="str">
            <v>S/AGFZE/AL/HMC/393/2025-26</v>
          </cell>
          <cell r="U804">
            <v>19.100000000000001</v>
          </cell>
        </row>
        <row r="805">
          <cell r="O805" t="str">
            <v>S/AGFZE/AL/HMC/393/2025-26</v>
          </cell>
          <cell r="U805">
            <v>20.79</v>
          </cell>
        </row>
        <row r="806">
          <cell r="O806" t="str">
            <v>S/AGFZE/AL/HMC/393/2025-26</v>
          </cell>
          <cell r="U806">
            <v>21.51</v>
          </cell>
        </row>
        <row r="807">
          <cell r="O807" t="str">
            <v>S/AGFZE/AL/DKS/396/2025-26</v>
          </cell>
          <cell r="U807">
            <v>18.535</v>
          </cell>
        </row>
        <row r="808">
          <cell r="O808" t="str">
            <v>S/AGFZE/AL/DKS/396/2025-26</v>
          </cell>
          <cell r="U808">
            <v>19.745000000000001</v>
          </cell>
        </row>
        <row r="809">
          <cell r="O809" t="str">
            <v>S/AGFZE/AL/DKS/396/2025-26</v>
          </cell>
          <cell r="U809">
            <v>21.52</v>
          </cell>
        </row>
        <row r="810">
          <cell r="O810" t="str">
            <v>S/AGFZE/AL/DKS/396/2025-26</v>
          </cell>
          <cell r="U810">
            <v>21.5</v>
          </cell>
        </row>
        <row r="811">
          <cell r="O811" t="str">
            <v>S/AGFZE/AL/HMC/395/2025-26</v>
          </cell>
          <cell r="U811">
            <v>21.5</v>
          </cell>
        </row>
        <row r="812">
          <cell r="O812" t="str">
            <v>S/AGFZE/AL/HMC/395/2025-26</v>
          </cell>
          <cell r="U812">
            <v>21.53</v>
          </cell>
        </row>
        <row r="813">
          <cell r="O813" t="str">
            <v>S/AGFZE/AL/HMC/394/2025-26</v>
          </cell>
          <cell r="U813">
            <v>21.52</v>
          </cell>
        </row>
        <row r="814">
          <cell r="O814" t="str">
            <v>S/AGFZE/AL/AML/409/2025-26</v>
          </cell>
          <cell r="U814">
            <v>23.19</v>
          </cell>
        </row>
        <row r="815">
          <cell r="O815" t="str">
            <v>S/AGFZE/AL/AML/410/2025-26</v>
          </cell>
          <cell r="U815">
            <v>22.52</v>
          </cell>
        </row>
        <row r="816">
          <cell r="O816" t="str">
            <v>S/AGFZE/AL/SAP/411/2025-26</v>
          </cell>
          <cell r="U816">
            <v>17.09</v>
          </cell>
        </row>
        <row r="817">
          <cell r="O817" t="str">
            <v>S/AGFZE/AL/RSM/412/2025-26</v>
          </cell>
          <cell r="U817">
            <v>23.13</v>
          </cell>
        </row>
        <row r="818">
          <cell r="O818" t="str">
            <v>S/AGFZE/AL/AMO/413/2025-26</v>
          </cell>
          <cell r="U818">
            <v>19.260000000000002</v>
          </cell>
        </row>
        <row r="819">
          <cell r="O819" t="str">
            <v>S/AGFZE/AL/AMO/413/2025-26</v>
          </cell>
          <cell r="U819">
            <v>21.69</v>
          </cell>
        </row>
        <row r="820">
          <cell r="O820" t="str">
            <v>S/AGFZE/AL/YI/416/2025-26</v>
          </cell>
          <cell r="U820">
            <v>22</v>
          </cell>
        </row>
        <row r="821">
          <cell r="O821" t="str">
            <v>S/AGFZE/AL/YI/418/2025-26</v>
          </cell>
          <cell r="U821">
            <v>22</v>
          </cell>
        </row>
        <row r="822">
          <cell r="O822" t="str">
            <v>S/AGFZE/AL/SBA/415/2025-26</v>
          </cell>
          <cell r="U822">
            <v>17.43</v>
          </cell>
        </row>
        <row r="823">
          <cell r="O823" t="str">
            <v>S/AGFZE/AL/VAL/419/2025-26</v>
          </cell>
          <cell r="U823">
            <v>22</v>
          </cell>
        </row>
        <row r="824">
          <cell r="O824" t="str">
            <v>S/AGFZE/AL/MI/423/2025-26</v>
          </cell>
          <cell r="U824">
            <v>20.49</v>
          </cell>
        </row>
        <row r="825">
          <cell r="O825" t="str">
            <v>S/AGFZE/AL/MI/423/2025-26</v>
          </cell>
          <cell r="U825">
            <v>21.085000000000001</v>
          </cell>
        </row>
        <row r="826">
          <cell r="O826" t="str">
            <v>S/AGFZE/AL/MI/423/2025-26</v>
          </cell>
          <cell r="U826">
            <v>20.61</v>
          </cell>
        </row>
        <row r="827">
          <cell r="O827" t="str">
            <v>S/AGFZE/AL/MI/423/2025-26</v>
          </cell>
          <cell r="U827">
            <v>20.475000000000001</v>
          </cell>
        </row>
        <row r="828">
          <cell r="O828" t="str">
            <v>S/AGFZE/AL/MI/423/2025-26</v>
          </cell>
          <cell r="U828">
            <v>19.399999999999999</v>
          </cell>
        </row>
        <row r="829">
          <cell r="O829" t="str">
            <v>S/AGFZE/AL/MI/423/2025-26</v>
          </cell>
          <cell r="U829">
            <v>21.5</v>
          </cell>
        </row>
        <row r="830">
          <cell r="O830" t="str">
            <v>S/AGFZE/HMS/FFS/424/2025-26</v>
          </cell>
          <cell r="U830">
            <v>40.881999999999998</v>
          </cell>
        </row>
        <row r="831">
          <cell r="O831" t="str">
            <v>S/AGFZE/HMS/FFS/424/2025-26</v>
          </cell>
          <cell r="U831">
            <v>79.524000000000001</v>
          </cell>
        </row>
        <row r="832">
          <cell r="O832" t="str">
            <v>S/AGFZE/HMS/FFS/424/2025-26</v>
          </cell>
          <cell r="U832"/>
        </row>
        <row r="833">
          <cell r="O833" t="str">
            <v>S/AGFZE/HMS/FFS/424/2025-26</v>
          </cell>
          <cell r="U833"/>
        </row>
        <row r="834">
          <cell r="O834" t="str">
            <v>S/AGFZE/HMS/FFS/424/2025-26</v>
          </cell>
          <cell r="U834"/>
        </row>
        <row r="835">
          <cell r="O835" t="str">
            <v>S/AGFZE/AL/SAP/422/2025-26</v>
          </cell>
          <cell r="U835">
            <v>17.03</v>
          </cell>
        </row>
        <row r="836">
          <cell r="O836" t="str">
            <v>S/AGFZE/AL/SAP/422/2025-26</v>
          </cell>
          <cell r="U836">
            <v>17.57</v>
          </cell>
        </row>
        <row r="837">
          <cell r="O837" t="str">
            <v>S/AGFZE/AL/SBA/421/2025-26</v>
          </cell>
          <cell r="U837">
            <v>17.45</v>
          </cell>
        </row>
        <row r="838">
          <cell r="O838" t="str">
            <v>S/AGFZE/AL/DCL/420/2025-26</v>
          </cell>
          <cell r="U838">
            <v>21.51</v>
          </cell>
        </row>
        <row r="839">
          <cell r="O839" t="str">
            <v>S/AGFZE/AL/DCL/420/2025-26</v>
          </cell>
          <cell r="U839">
            <v>21.52</v>
          </cell>
        </row>
        <row r="840">
          <cell r="O840" t="str">
            <v>S/AGFZE/AL/DCL/420/2025-26</v>
          </cell>
          <cell r="U840">
            <v>21.52</v>
          </cell>
        </row>
        <row r="841">
          <cell r="O841" t="str">
            <v>S/AGFZE/AL/DCL/420/2025-26</v>
          </cell>
          <cell r="U841">
            <v>21.53</v>
          </cell>
        </row>
        <row r="842">
          <cell r="O842" t="str">
            <v>S/AGFZE/AL/DCL/420/2025-26</v>
          </cell>
          <cell r="U842">
            <v>21.51</v>
          </cell>
        </row>
        <row r="843">
          <cell r="O843" t="str">
            <v>S/AGFZE/AL/DKS/426/2025-26</v>
          </cell>
          <cell r="U843">
            <v>21.5</v>
          </cell>
        </row>
        <row r="844">
          <cell r="O844" t="str">
            <v>S/AGFZE/AL/DKS/426/2025-26</v>
          </cell>
          <cell r="U844">
            <v>21.53</v>
          </cell>
        </row>
        <row r="845">
          <cell r="O845" t="str">
            <v>S/AGFZE/AL/DKS/426/2025-26</v>
          </cell>
          <cell r="U845">
            <v>21.52</v>
          </cell>
        </row>
        <row r="846">
          <cell r="O846" t="str">
            <v>S/AGFZE/AL/STC/425/2025-26</v>
          </cell>
          <cell r="U846">
            <v>21.6</v>
          </cell>
        </row>
        <row r="847">
          <cell r="O847" t="str">
            <v>S/AGFZE/AL/YI/427/2025-26</v>
          </cell>
          <cell r="U847">
            <v>22.01</v>
          </cell>
        </row>
        <row r="848">
          <cell r="O848" t="str">
            <v>S/AGFZE/AL/HMI/436/2025-26</v>
          </cell>
          <cell r="U848">
            <v>22.98</v>
          </cell>
        </row>
        <row r="849">
          <cell r="O849" t="str">
            <v>S/AGFZE/AL/CAL/453/2025-26</v>
          </cell>
          <cell r="U849"/>
        </row>
        <row r="850">
          <cell r="O850" t="str">
            <v>S/AGFZE/AL/YI/452/2025-26</v>
          </cell>
          <cell r="U850">
            <v>20.170000000000002</v>
          </cell>
        </row>
        <row r="851">
          <cell r="O851" t="str">
            <v>S/AGFZE/AL/YI/452/2025-26</v>
          </cell>
          <cell r="U851">
            <v>21.42</v>
          </cell>
        </row>
        <row r="852">
          <cell r="O852" t="str">
            <v>S/AGFZE/AL/CAL/444/2025-26</v>
          </cell>
          <cell r="U852">
            <v>21.51</v>
          </cell>
        </row>
        <row r="853">
          <cell r="O853" t="str">
            <v>S/AGFZE/AL/CAL/444/2025-26</v>
          </cell>
          <cell r="U853">
            <v>21.52</v>
          </cell>
        </row>
        <row r="854">
          <cell r="O854" t="str">
            <v>S/AGFZE/AL/CAL/444/2025-26</v>
          </cell>
          <cell r="U854">
            <v>21.51</v>
          </cell>
        </row>
        <row r="855">
          <cell r="O855" t="str">
            <v>S/AGFZE/AL/CAL/496/2025-26</v>
          </cell>
          <cell r="U855">
            <v>20.135000000000002</v>
          </cell>
        </row>
        <row r="856">
          <cell r="O856" t="str">
            <v>S/AGFZE/AL/CAL/496/2025-26</v>
          </cell>
          <cell r="U856">
            <v>19.555</v>
          </cell>
        </row>
        <row r="857">
          <cell r="O857" t="str">
            <v>S/AGFZE/AL/CAL/444/2025-26</v>
          </cell>
          <cell r="U857">
            <v>20.05</v>
          </cell>
        </row>
        <row r="858">
          <cell r="O858" t="str">
            <v>S/AGFZE/AL/CAL/444/2025-26</v>
          </cell>
          <cell r="U858">
            <v>21.53</v>
          </cell>
        </row>
        <row r="859">
          <cell r="O859" t="str">
            <v>S/AGFZE/AL/CAL/444/2025-26</v>
          </cell>
          <cell r="U859">
            <v>21.53</v>
          </cell>
        </row>
        <row r="860">
          <cell r="O860" t="str">
            <v>S/AGFZE/AL/CAL/444/2025-26</v>
          </cell>
          <cell r="U860">
            <v>21.53</v>
          </cell>
        </row>
        <row r="861">
          <cell r="O861" t="str">
            <v>S/AGFZE/AL/CAL/444/2025-26</v>
          </cell>
          <cell r="U861">
            <v>21.51</v>
          </cell>
        </row>
        <row r="862">
          <cell r="O862" t="str">
            <v>S/AGFZE/AL/CAL/444/2025-26</v>
          </cell>
          <cell r="U862">
            <v>21.56</v>
          </cell>
        </row>
        <row r="863">
          <cell r="O863" t="str">
            <v>S/AGFZE/AL/CAL/444/2025-26</v>
          </cell>
          <cell r="U863">
            <v>21.6</v>
          </cell>
        </row>
        <row r="864">
          <cell r="O864" t="str">
            <v>S/AGFZE/AL/CAL/444/2025-26</v>
          </cell>
          <cell r="U864">
            <v>21.53</v>
          </cell>
        </row>
        <row r="865">
          <cell r="O865" t="str">
            <v>S/AGFZE/AL/CAL/444/2025-26</v>
          </cell>
          <cell r="U865">
            <v>21.55</v>
          </cell>
        </row>
        <row r="866">
          <cell r="O866" t="str">
            <v>S/AGFZE/AL/CAL/444/2025-26</v>
          </cell>
          <cell r="U866">
            <v>21.5</v>
          </cell>
        </row>
        <row r="867">
          <cell r="O867" t="str">
            <v>S/AGFZE/AL/CAL/444/2025-26</v>
          </cell>
          <cell r="U867">
            <v>21.55</v>
          </cell>
        </row>
        <row r="868">
          <cell r="O868" t="str">
            <v>S/AGFZE/AL/CAL/444/2025-26</v>
          </cell>
          <cell r="U868">
            <v>21.5</v>
          </cell>
        </row>
        <row r="869">
          <cell r="O869" t="str">
            <v>S/AGFZE/AL/CAL/443/2025-26</v>
          </cell>
          <cell r="U869">
            <v>21.51</v>
          </cell>
        </row>
        <row r="870">
          <cell r="O870" t="str">
            <v>S/AGFZE/AL/CAL/443/2025-26</v>
          </cell>
          <cell r="U870">
            <v>21.82</v>
          </cell>
        </row>
        <row r="871">
          <cell r="O871" t="str">
            <v>S/AGFZE/AL/CAL/443/2025-26</v>
          </cell>
          <cell r="U871">
            <v>21.56</v>
          </cell>
        </row>
        <row r="872">
          <cell r="O872" t="str">
            <v>S/AGFZE/NI/AS/437/2025-26</v>
          </cell>
          <cell r="U872">
            <v>15.885</v>
          </cell>
        </row>
        <row r="873">
          <cell r="O873" t="str">
            <v>S/AGFZE/NI/AS/437/2025-26</v>
          </cell>
          <cell r="U873">
            <v>8.3729999999999993</v>
          </cell>
        </row>
        <row r="874">
          <cell r="O874" t="str">
            <v>S/AGFZE/AL/AIL/472/2025-26</v>
          </cell>
          <cell r="U874">
            <v>23</v>
          </cell>
        </row>
        <row r="875">
          <cell r="O875" t="str">
            <v>S/AGFZE/AL/RIP/473/2025-26</v>
          </cell>
          <cell r="U875">
            <v>21.645</v>
          </cell>
        </row>
        <row r="876">
          <cell r="O876" t="str">
            <v>S/AGFZE/AL/VTP/486/2025-26</v>
          </cell>
          <cell r="U876">
            <v>22.43</v>
          </cell>
        </row>
        <row r="877">
          <cell r="O877" t="str">
            <v>S/AGFZE/AL/CAL/475/2025-26</v>
          </cell>
          <cell r="U877">
            <v>17.11</v>
          </cell>
        </row>
        <row r="878">
          <cell r="O878" t="str">
            <v>S/AGFZE/AL/CAL/475/2025-26</v>
          </cell>
          <cell r="U878">
            <v>16.14</v>
          </cell>
        </row>
        <row r="879">
          <cell r="O879" t="str">
            <v>S/AGFZE/AL/CAL/474/2025-26</v>
          </cell>
          <cell r="U879">
            <v>20.195</v>
          </cell>
        </row>
        <row r="880">
          <cell r="O880" t="str">
            <v>S/AGFZE/AL/CAL/474/2025-26</v>
          </cell>
          <cell r="U880">
            <v>20.149999999999999</v>
          </cell>
        </row>
        <row r="881">
          <cell r="O881" t="str">
            <v>S/AGFZE/AL/TIT/505/2025-26</v>
          </cell>
          <cell r="U881">
            <v>21.03</v>
          </cell>
        </row>
        <row r="882">
          <cell r="O882" t="str">
            <v>S/AGFZE/AL/CAL/482/2025-26</v>
          </cell>
          <cell r="U882">
            <v>17.21</v>
          </cell>
        </row>
        <row r="883">
          <cell r="O883" t="str">
            <v>S/AGFZE/AL/CAL/482/2025-26</v>
          </cell>
          <cell r="U883">
            <v>16.95</v>
          </cell>
        </row>
        <row r="884">
          <cell r="O884" t="str">
            <v>S/AGFZE/AL/SBA/483/2025-26</v>
          </cell>
          <cell r="U884">
            <v>19.766999999999999</v>
          </cell>
        </row>
        <row r="885">
          <cell r="O885" t="str">
            <v>S/AGFZE/AL/SBA/483/2025-26</v>
          </cell>
          <cell r="U885">
            <v>18.768000000000001</v>
          </cell>
        </row>
        <row r="886">
          <cell r="O886" t="str">
            <v>S/AGFZE/AL/VRL/504/2025-26</v>
          </cell>
          <cell r="U886">
            <v>20.344000000000001</v>
          </cell>
        </row>
        <row r="887">
          <cell r="O887" t="str">
            <v>S/AGFZE/AL/MMP/503/2025-26</v>
          </cell>
          <cell r="U887">
            <v>21.66</v>
          </cell>
        </row>
        <row r="888">
          <cell r="O888" t="str">
            <v>S/AGFZE/AL/KM/500/2025-26</v>
          </cell>
          <cell r="U888">
            <v>17.649999999999999</v>
          </cell>
        </row>
        <row r="889">
          <cell r="O889" t="str">
            <v>S/AGFZE/AL/GMU/502/2025-26</v>
          </cell>
          <cell r="U889">
            <v>16.010000000000002</v>
          </cell>
        </row>
        <row r="890">
          <cell r="O890" t="str">
            <v>S/AGFZE/AL/SBA/498/2025-26</v>
          </cell>
          <cell r="U890">
            <v>17.100000000000001</v>
          </cell>
        </row>
        <row r="891">
          <cell r="O891" t="str">
            <v>S/AGFZE/AL/SBA/499/2025-26</v>
          </cell>
          <cell r="U891">
            <v>17.57</v>
          </cell>
        </row>
        <row r="892">
          <cell r="O892" t="str">
            <v>S/AGFZE/AL/CAL/497/2025-26</v>
          </cell>
          <cell r="U892">
            <v>21.52</v>
          </cell>
        </row>
        <row r="893">
          <cell r="O893" t="str">
            <v>S/AGFZE/AL/CAL/497/2025-26</v>
          </cell>
          <cell r="U893">
            <v>21.52</v>
          </cell>
        </row>
        <row r="894">
          <cell r="O894" t="str">
            <v>S/AGFZE/AL/CAL/497/2025-26</v>
          </cell>
          <cell r="U894">
            <v>21.53</v>
          </cell>
        </row>
        <row r="895">
          <cell r="O895" t="str">
            <v>S/AGFZE/AL/CAL/497/2025-26</v>
          </cell>
          <cell r="U895">
            <v>21.52</v>
          </cell>
        </row>
        <row r="896">
          <cell r="O896" t="str">
            <v>S/AGFZE/AL/CAL/497/2025-26</v>
          </cell>
          <cell r="U896">
            <v>21.52</v>
          </cell>
        </row>
        <row r="897">
          <cell r="O897" t="str">
            <v>S/AGFZE/AL/CAL/497/2025-26</v>
          </cell>
          <cell r="U897">
            <v>21.53</v>
          </cell>
        </row>
        <row r="898">
          <cell r="O898" t="str">
            <v>S/AGFZE/AL/CAL/497/2025-26</v>
          </cell>
          <cell r="U898">
            <v>21.52</v>
          </cell>
        </row>
        <row r="899">
          <cell r="O899" t="str">
            <v>S/AGFZE/AL/VAL/501/2025-26</v>
          </cell>
          <cell r="U899">
            <v>24.61</v>
          </cell>
        </row>
        <row r="900">
          <cell r="O900" t="str">
            <v>S/AGFZE/AL/VAL/501/2025-26</v>
          </cell>
          <cell r="U900">
            <v>23.08</v>
          </cell>
        </row>
        <row r="901">
          <cell r="O901" t="str">
            <v>S/AGFZE/AL/CAL/496/2025-26</v>
          </cell>
          <cell r="U901"/>
        </row>
        <row r="902">
          <cell r="O902" t="str">
            <v>S/AGFZE/AL/CAL/496/2025-26</v>
          </cell>
          <cell r="U902">
            <v>21.53</v>
          </cell>
        </row>
        <row r="903">
          <cell r="O903" t="str">
            <v>S/AGFZE/AL/CAL/496/2025-26</v>
          </cell>
          <cell r="U903">
            <v>21.53</v>
          </cell>
        </row>
        <row r="904">
          <cell r="O904" t="str">
            <v>S/AGFZE/AL/CAL/496/2025-26</v>
          </cell>
          <cell r="U904">
            <v>20.248000000000001</v>
          </cell>
        </row>
        <row r="905">
          <cell r="O905" t="str">
            <v>S/AGFZE/AL/CAL/496/2025-26</v>
          </cell>
          <cell r="U905">
            <v>19.888000000000002</v>
          </cell>
        </row>
        <row r="906">
          <cell r="O906" t="str">
            <v>S/AGFZE/AL/CAL/496/2025-26</v>
          </cell>
          <cell r="U906">
            <v>20.068000000000001</v>
          </cell>
        </row>
        <row r="907">
          <cell r="O907" t="str">
            <v>S/AGFZE/AL/CAL/444/2025-26</v>
          </cell>
          <cell r="U907">
            <v>21.44</v>
          </cell>
        </row>
        <row r="908">
          <cell r="O908" t="str">
            <v>S/AGFZE/AL/CAL/444/2025-26</v>
          </cell>
          <cell r="U908">
            <v>19.04</v>
          </cell>
        </row>
        <row r="909">
          <cell r="O909" t="str">
            <v>S/AGFZE/AL/CAL/496/2025-26</v>
          </cell>
          <cell r="U909">
            <v>20.805</v>
          </cell>
        </row>
        <row r="910">
          <cell r="O910" t="str">
            <v>S/AGFZE/AL/CAL/496/2025-26</v>
          </cell>
          <cell r="U910">
            <v>20.21</v>
          </cell>
        </row>
        <row r="911">
          <cell r="O911" t="str">
            <v>S/AGFZE/AL/CAL/495/2025-26</v>
          </cell>
          <cell r="U911">
            <v>20.14</v>
          </cell>
        </row>
        <row r="912">
          <cell r="O912" t="str">
            <v>S/AGFZE/AL/CAL/495/2025-26</v>
          </cell>
          <cell r="U912">
            <v>19.57</v>
          </cell>
        </row>
        <row r="913">
          <cell r="O913" t="str">
            <v>S/AGFZE/AL/CAL/495/2025-26</v>
          </cell>
          <cell r="U913">
            <v>20.03</v>
          </cell>
        </row>
        <row r="914">
          <cell r="O914" t="str">
            <v>S/AGFZE/AL/CAL/495/2025-26</v>
          </cell>
          <cell r="U914">
            <v>20.7</v>
          </cell>
        </row>
        <row r="915">
          <cell r="O915" t="str">
            <v>S/AGFZE/AL/CAL/495/2025-26</v>
          </cell>
          <cell r="U915">
            <v>20.585000000000001</v>
          </cell>
        </row>
        <row r="916">
          <cell r="O916" t="str">
            <v>S/AGFZE/AL/CAL/495/2025-26</v>
          </cell>
          <cell r="U916">
            <v>20.46</v>
          </cell>
        </row>
        <row r="917">
          <cell r="O917" t="str">
            <v>S/AGFZE/AL/CAL/495/2025-26</v>
          </cell>
          <cell r="U917">
            <v>20.204999999999998</v>
          </cell>
        </row>
        <row r="918">
          <cell r="O918" t="str">
            <v>S/AGFZE/AL/CAL/495/2025-26</v>
          </cell>
          <cell r="U918">
            <v>19.86</v>
          </cell>
        </row>
        <row r="919">
          <cell r="O919" t="str">
            <v>S/AGFZE/AL/CAL/495/2025-26</v>
          </cell>
          <cell r="U919">
            <v>20.074999999999999</v>
          </cell>
        </row>
        <row r="920">
          <cell r="O920" t="str">
            <v>S/AGFZE/AL/CAL/495/2025-26</v>
          </cell>
          <cell r="U920">
            <v>20.785</v>
          </cell>
        </row>
        <row r="921">
          <cell r="O921" t="str">
            <v>S/AGFZE/AL/CAL/495/2025-26</v>
          </cell>
          <cell r="U921"/>
        </row>
        <row r="922">
          <cell r="O922" t="str">
            <v>S/AGFZE/AL/CAL/495/2025-26</v>
          </cell>
          <cell r="U922"/>
        </row>
        <row r="923">
          <cell r="O923" t="str">
            <v>S/AGFZE/AL/CAL/495/2025-26</v>
          </cell>
          <cell r="U923"/>
        </row>
        <row r="924">
          <cell r="O924" t="str">
            <v>S/AGFZE/AL/CAL/495/2025-26</v>
          </cell>
          <cell r="U924">
            <v>20.065000000000001</v>
          </cell>
        </row>
        <row r="925">
          <cell r="O925" t="str">
            <v>S/AGFZE/AL/CAL/495/2025-26</v>
          </cell>
          <cell r="U925">
            <v>20.02</v>
          </cell>
        </row>
        <row r="926">
          <cell r="O926" t="str">
            <v>S/AGFZE/AL/CAL/495/2025-26</v>
          </cell>
          <cell r="U926">
            <v>20.594999999999999</v>
          </cell>
        </row>
        <row r="927">
          <cell r="O927" t="str">
            <v>S/AGFZE/AL/CAL/495/2025-26</v>
          </cell>
          <cell r="U927">
            <v>21.515000000000001</v>
          </cell>
        </row>
        <row r="928">
          <cell r="O928" t="str">
            <v>S/AGFZE/AL/CAL/495/2025-26</v>
          </cell>
          <cell r="U928">
            <v>19.725000000000001</v>
          </cell>
        </row>
        <row r="929">
          <cell r="O929" t="str">
            <v>S/AGFZE/AL/CAL/495/2025-26</v>
          </cell>
          <cell r="U929">
            <v>19.170000000000002</v>
          </cell>
        </row>
        <row r="930">
          <cell r="O930" t="str">
            <v>S/AGFZE/AL/CAL/495/2025-26</v>
          </cell>
          <cell r="U930">
            <v>20.12</v>
          </cell>
        </row>
        <row r="931">
          <cell r="O931" t="str">
            <v>S/AGFZE/CU/SMG/507/2025-26</v>
          </cell>
          <cell r="U931">
            <v>15.98</v>
          </cell>
        </row>
        <row r="932">
          <cell r="O932" t="str">
            <v>S/AGFZE/AL/PI/509/2025-26</v>
          </cell>
          <cell r="U932">
            <v>16.059999999999999</v>
          </cell>
        </row>
        <row r="933">
          <cell r="O933" t="str">
            <v>S/AGFZE/AL/JSB/513/2025-26</v>
          </cell>
          <cell r="U933">
            <v>19.978999999999999</v>
          </cell>
        </row>
        <row r="934">
          <cell r="O934" t="str">
            <v>S/AGFZE/AL/SSM/516/2025-26</v>
          </cell>
          <cell r="U934"/>
        </row>
        <row r="935">
          <cell r="O935" t="str">
            <v>S/AGFZE/AL/SSI/543/2025-26</v>
          </cell>
          <cell r="U935">
            <v>14.896000000000001</v>
          </cell>
        </row>
        <row r="936">
          <cell r="O936" t="str">
            <v>S/AGFZE/AL/KBU/558/2025-26</v>
          </cell>
          <cell r="U936">
            <v>22.61</v>
          </cell>
        </row>
        <row r="937">
          <cell r="O937" t="str">
            <v>S/AGFZE/AL/SBA/559/2025-26</v>
          </cell>
          <cell r="U937"/>
        </row>
        <row r="938">
          <cell r="O938" t="str">
            <v>S/AGFZE/AL/SBA/560/2025-26</v>
          </cell>
          <cell r="U938">
            <v>18.07</v>
          </cell>
        </row>
        <row r="939">
          <cell r="O939" t="str">
            <v>S/AGFZE/AL/SBA/550/2025-26</v>
          </cell>
          <cell r="U939">
            <v>17.63</v>
          </cell>
        </row>
        <row r="940">
          <cell r="O940" t="str">
            <v>S/AGFZE/AL/AMO/552/2025-26</v>
          </cell>
          <cell r="U940">
            <v>17.97</v>
          </cell>
        </row>
        <row r="941">
          <cell r="O941" t="str">
            <v>S/AGFZE/AL/JAL/553/2025-26</v>
          </cell>
          <cell r="U941">
            <v>20.39</v>
          </cell>
        </row>
        <row r="942">
          <cell r="O942" t="str">
            <v>S/AGFZE/AL/JAL/622/2025-26</v>
          </cell>
          <cell r="U942">
            <v>20.28</v>
          </cell>
        </row>
        <row r="943">
          <cell r="O943" t="str">
            <v>S/AGFZE/AL/JO/554/2025-26</v>
          </cell>
          <cell r="U943">
            <v>17.71</v>
          </cell>
        </row>
        <row r="944">
          <cell r="O944" t="str">
            <v>S/AGFZE/AL/JO/554/2025-26</v>
          </cell>
          <cell r="U944">
            <v>17.41</v>
          </cell>
        </row>
        <row r="945">
          <cell r="O945" t="str">
            <v>S/AGFZE/AL/SPL/556/2025-26</v>
          </cell>
          <cell r="U945">
            <v>21.876999999999999</v>
          </cell>
        </row>
        <row r="946">
          <cell r="O946" t="str">
            <v>S/AGFZE/AL/GIM/557/2025-26</v>
          </cell>
          <cell r="U946">
            <v>23.72</v>
          </cell>
        </row>
        <row r="947">
          <cell r="O947" t="str">
            <v>S/AGFZE/AL/CAL/562/2025-26</v>
          </cell>
          <cell r="U947">
            <v>16.940000000000001</v>
          </cell>
        </row>
        <row r="948">
          <cell r="O948" t="str">
            <v>S/AGFZE/AL/CAL/563/2025-26</v>
          </cell>
          <cell r="U948">
            <v>17.079999999999998</v>
          </cell>
        </row>
        <row r="949">
          <cell r="O949" t="str">
            <v>S/AGFZE/AL/CAL/563/2025-26</v>
          </cell>
          <cell r="U949">
            <v>15.72</v>
          </cell>
        </row>
        <row r="950">
          <cell r="O950" t="str">
            <v>S/AGFZE/AL/SSI/579/2025-26</v>
          </cell>
          <cell r="U950">
            <v>14.196999999999999</v>
          </cell>
        </row>
        <row r="951">
          <cell r="O951" t="str">
            <v>S/AGFZE/AL/SSI/548/2025-26</v>
          </cell>
          <cell r="U951">
            <v>14.352</v>
          </cell>
        </row>
        <row r="952">
          <cell r="O952" t="str">
            <v>S/AGFZE/AL/SAP/578/2025-26</v>
          </cell>
          <cell r="U952">
            <v>15.122999999999999</v>
          </cell>
        </row>
        <row r="953">
          <cell r="O953" t="str">
            <v>S/AGFZE/AL/SSI/548/2025-26</v>
          </cell>
          <cell r="U953">
            <v>14.515000000000001</v>
          </cell>
        </row>
        <row r="954">
          <cell r="O954" t="str">
            <v>S/AGFZE/AL/SSI/593/2025-26</v>
          </cell>
          <cell r="U954">
            <v>14.914</v>
          </cell>
        </row>
        <row r="955">
          <cell r="O955" t="str">
            <v>S/AGFZE/AL/GRM/603/2025-26</v>
          </cell>
          <cell r="U955">
            <v>11.065</v>
          </cell>
        </row>
        <row r="956">
          <cell r="O956" t="str">
            <v>S/AGFZE/AL/GRM/603/2025-26</v>
          </cell>
          <cell r="U956">
            <v>13.109</v>
          </cell>
        </row>
        <row r="957">
          <cell r="O957" t="str">
            <v>S/AGFZE/AL/TE/607/2025-26</v>
          </cell>
          <cell r="U957">
            <v>21.065000000000001</v>
          </cell>
        </row>
        <row r="958">
          <cell r="O958" t="str">
            <v>S/AGFZE/AL/SAP/608/2025-26</v>
          </cell>
          <cell r="U958">
            <v>18</v>
          </cell>
        </row>
        <row r="959">
          <cell r="O959" t="str">
            <v>S/AGFZE/AL/SAP/608/2025-26</v>
          </cell>
          <cell r="U959">
            <v>18.29</v>
          </cell>
        </row>
        <row r="960">
          <cell r="O960" t="str">
            <v>S/AGFZE/AL/SAP/608/2025-26</v>
          </cell>
          <cell r="U960">
            <v>17.97</v>
          </cell>
        </row>
        <row r="961">
          <cell r="O961" t="str">
            <v>S/AGFZE/AL/AMO/609/2025-26</v>
          </cell>
          <cell r="U961">
            <v>18.47</v>
          </cell>
        </row>
        <row r="962">
          <cell r="O962" t="str">
            <v>S/AGFZE/AL/AMO/610/2025-26</v>
          </cell>
          <cell r="U962">
            <v>18.78</v>
          </cell>
        </row>
        <row r="963">
          <cell r="O963" t="str">
            <v>S/AGFZE/AL/AMO/610/2025-26</v>
          </cell>
          <cell r="U963"/>
        </row>
        <row r="964">
          <cell r="O964" t="str">
            <v>S/AGFZE/AL/JI/602/2025-26</v>
          </cell>
          <cell r="U964"/>
        </row>
        <row r="965">
          <cell r="O965" t="str">
            <v>S/AGFZE/AL/JI/602/2025-26</v>
          </cell>
          <cell r="U965"/>
        </row>
        <row r="966">
          <cell r="O966" t="str">
            <v>S/AGFZE/AL/CAL/612/2025-26</v>
          </cell>
          <cell r="U966">
            <v>21.65</v>
          </cell>
        </row>
        <row r="967">
          <cell r="O967" t="str">
            <v>S/AGFZE/AL/CAL/612/2025-26</v>
          </cell>
          <cell r="U967">
            <v>22.17</v>
          </cell>
        </row>
        <row r="968">
          <cell r="O968" t="str">
            <v>S/AGFZE/AL/CAL/612/2025-26</v>
          </cell>
          <cell r="U968">
            <v>21.51</v>
          </cell>
        </row>
        <row r="969">
          <cell r="O969" t="str">
            <v>S/AGFZE/AL/CAL/612/2025-26</v>
          </cell>
          <cell r="U969">
            <v>21.52</v>
          </cell>
        </row>
        <row r="970">
          <cell r="O970" t="str">
            <v>S/AGFZE/AL/CAL/612/2025-26</v>
          </cell>
          <cell r="U970">
            <v>20.170000000000002</v>
          </cell>
        </row>
        <row r="971">
          <cell r="O971" t="str">
            <v>S/AGFZE/AL/CAL/612/2025-26</v>
          </cell>
          <cell r="U971">
            <v>20.2</v>
          </cell>
        </row>
        <row r="972">
          <cell r="O972" t="str">
            <v>S/AGFZE/AL/CAL/612/2025-26</v>
          </cell>
          <cell r="U972">
            <v>20.3</v>
          </cell>
        </row>
        <row r="973">
          <cell r="O973" t="str">
            <v>S/AGFZE/AL/CAL/612/2025-26</v>
          </cell>
          <cell r="U973">
            <v>20.28</v>
          </cell>
        </row>
        <row r="974">
          <cell r="O974" t="str">
            <v>S/AGFZE/AL/CAL/612/2025-26</v>
          </cell>
          <cell r="U974">
            <v>20.309999999999999</v>
          </cell>
        </row>
        <row r="975">
          <cell r="O975" t="str">
            <v>S/AGFZE/AL/CAL/612/2025-26</v>
          </cell>
          <cell r="U975">
            <v>20.167999999999999</v>
          </cell>
        </row>
        <row r="976">
          <cell r="O976" t="str">
            <v>S/AGFZE/AL/RIP/614/2025-26</v>
          </cell>
          <cell r="U976">
            <v>22.3</v>
          </cell>
        </row>
        <row r="977">
          <cell r="O977" t="str">
            <v>S/AGFZE/AL/RIP/614/2025-26</v>
          </cell>
          <cell r="U977">
            <v>22.91</v>
          </cell>
        </row>
        <row r="978">
          <cell r="O978" t="str">
            <v>S/AGFZE/AL/RIP/614/2025-26</v>
          </cell>
          <cell r="U978">
            <v>22.95</v>
          </cell>
        </row>
        <row r="979">
          <cell r="O979" t="str">
            <v>S/AGFZE/AL/RIP/614/2025-26</v>
          </cell>
          <cell r="U979">
            <v>22.62</v>
          </cell>
        </row>
        <row r="980">
          <cell r="O980" t="str">
            <v>S/AGFZE/AL/RIP/614/2025-26</v>
          </cell>
          <cell r="U980">
            <v>22.9</v>
          </cell>
        </row>
        <row r="981">
          <cell r="O981" t="str">
            <v>S/AGFZE/AL/RIP/614/2025-26</v>
          </cell>
          <cell r="U981">
            <v>22.96</v>
          </cell>
        </row>
        <row r="982">
          <cell r="O982" t="str">
            <v>S/AGFZE/AL/RIP/615/2025-26</v>
          </cell>
          <cell r="U982">
            <v>23.14</v>
          </cell>
        </row>
        <row r="983">
          <cell r="O983" t="str">
            <v>S/AGFZE/AL/RIP/615/2025-26</v>
          </cell>
          <cell r="U983">
            <v>24.23</v>
          </cell>
        </row>
        <row r="984">
          <cell r="O984" t="str">
            <v>S/AGFZE/AL/JAL/616/2025-26</v>
          </cell>
          <cell r="U984">
            <v>23.01</v>
          </cell>
        </row>
        <row r="985">
          <cell r="O985" t="str">
            <v>S/AGFZE/AL/JAL/616/2025-26</v>
          </cell>
          <cell r="U985"/>
        </row>
        <row r="986">
          <cell r="O986" t="str">
            <v>S/AGFZE/AL/JAL/616/2025-26</v>
          </cell>
          <cell r="U986">
            <v>20.704999999999998</v>
          </cell>
        </row>
        <row r="987">
          <cell r="O987" t="str">
            <v>S/AGFZE/AL/JAL/616/2025-26</v>
          </cell>
          <cell r="U987">
            <v>20.86</v>
          </cell>
        </row>
        <row r="988">
          <cell r="O988" t="str">
            <v>S/AGFZE/AL/AIL/617/2025-26</v>
          </cell>
          <cell r="U988">
            <v>23.99</v>
          </cell>
        </row>
        <row r="989">
          <cell r="O989" t="str">
            <v>S/AGFZE/AL/RSM/618/2025-26</v>
          </cell>
          <cell r="U989">
            <v>22.08</v>
          </cell>
        </row>
        <row r="990">
          <cell r="O990" t="str">
            <v>S/AGFZE/AL/MMP/619/2025-26</v>
          </cell>
          <cell r="U990">
            <v>22.82</v>
          </cell>
        </row>
        <row r="991">
          <cell r="O991" t="str">
            <v>S/AGFZE/AL/SSP/620/2025-26</v>
          </cell>
          <cell r="U991">
            <v>20.21</v>
          </cell>
        </row>
        <row r="992">
          <cell r="O992" t="str">
            <v>S/AGFZE/AL/SAE/621/2025-26</v>
          </cell>
          <cell r="U992">
            <v>20.010000000000002</v>
          </cell>
        </row>
        <row r="993">
          <cell r="O993" t="str">
            <v>S/AGFZE/AL/SAE/621/2025-26</v>
          </cell>
          <cell r="U993">
            <v>20.045000000000002</v>
          </cell>
        </row>
        <row r="994">
          <cell r="O994" t="str">
            <v>S/AGFZE/AL/JAL/553/2025-26</v>
          </cell>
          <cell r="U994">
            <v>20.105</v>
          </cell>
        </row>
        <row r="995">
          <cell r="O995" t="str">
            <v>S/AGFZE/AL/JAL/622/2025-26</v>
          </cell>
          <cell r="U995">
            <v>20.75</v>
          </cell>
        </row>
        <row r="996">
          <cell r="O996" t="str">
            <v>S/AGFZE/AL/SAP/627/2025-26</v>
          </cell>
          <cell r="U996">
            <v>14.305999999999999</v>
          </cell>
        </row>
        <row r="997">
          <cell r="O997" t="str">
            <v>S/AGFZE/AL/SAP/627/2025-26</v>
          </cell>
          <cell r="U997">
            <v>15.177</v>
          </cell>
        </row>
        <row r="998">
          <cell r="O998" t="str">
            <v>S/AGFZE/CUZN/TTYY/628/2025-26</v>
          </cell>
          <cell r="U998">
            <v>22.937999999999999</v>
          </cell>
        </row>
        <row r="999">
          <cell r="O999" t="str">
            <v>S/AGFZE/CUZN/TTYY/628/2025-26</v>
          </cell>
          <cell r="U999">
            <v>22.588000000000001</v>
          </cell>
        </row>
        <row r="1000">
          <cell r="O1000" t="str">
            <v>S/AGFZE/AL/SSP/623/2025-26</v>
          </cell>
          <cell r="U1000">
            <v>23.16</v>
          </cell>
        </row>
        <row r="1001">
          <cell r="O1001" t="str">
            <v>S/AGFZE/AL/KC/630/2025-26</v>
          </cell>
          <cell r="U1001">
            <v>23.61</v>
          </cell>
        </row>
        <row r="1002">
          <cell r="O1002" t="str">
            <v>S/AGFZE/AL/KC/630/2025-26</v>
          </cell>
          <cell r="U1002">
            <v>22.8</v>
          </cell>
        </row>
        <row r="1003">
          <cell r="O1003" t="str">
            <v>S/AGFZE/AL/KC/630/2025-26</v>
          </cell>
          <cell r="U1003">
            <v>23</v>
          </cell>
        </row>
        <row r="1004">
          <cell r="O1004" t="str">
            <v>S/AGFZE/AL/SHM/605/2025-26</v>
          </cell>
          <cell r="U1004"/>
        </row>
        <row r="1005">
          <cell r="O1005" t="str">
            <v>S/AGFZE/AL/SBA/632/2025-26</v>
          </cell>
          <cell r="U1005">
            <v>18.47</v>
          </cell>
        </row>
        <row r="1006">
          <cell r="O1006" t="str">
            <v>SAGFZE/AL/SBA/633/2025-26</v>
          </cell>
          <cell r="U1006">
            <v>16.61</v>
          </cell>
        </row>
        <row r="1007">
          <cell r="O1007" t="str">
            <v>SAGFZE/AL/SBA/633/2025-26</v>
          </cell>
          <cell r="U1007"/>
        </row>
        <row r="1008">
          <cell r="O1008" t="str">
            <v>S/AGFZE/AL/AAC/637/2025-26</v>
          </cell>
          <cell r="U1008">
            <v>19.995000000000001</v>
          </cell>
        </row>
        <row r="1009">
          <cell r="O1009" t="str">
            <v>S/AGFZE/AL/AAC/637/2025-26</v>
          </cell>
          <cell r="U1009">
            <v>19.966999999999999</v>
          </cell>
        </row>
        <row r="1010">
          <cell r="O1010" t="str">
            <v>S/AGFZE/AL/SML/631/2025-26</v>
          </cell>
          <cell r="U1010">
            <v>20.21</v>
          </cell>
        </row>
        <row r="1011">
          <cell r="O1011" t="str">
            <v>S/AGFZE/AL/GI/634/2025-26</v>
          </cell>
          <cell r="U1011">
            <v>18.079999999999998</v>
          </cell>
        </row>
        <row r="1012">
          <cell r="O1012" t="str">
            <v>S/AGFZE/AL/AM/650/2025-26</v>
          </cell>
          <cell r="U1012">
            <v>23.65</v>
          </cell>
        </row>
        <row r="1013">
          <cell r="O1013" t="str">
            <v>S/AGFZE/AL/IAC/698/2025-26</v>
          </cell>
          <cell r="U1013">
            <v>14.842000000000001</v>
          </cell>
        </row>
        <row r="1014">
          <cell r="O1014" t="str">
            <v>S/AGFZE/AL/IAC/698/2025-26</v>
          </cell>
          <cell r="U1014">
            <v>15.05</v>
          </cell>
        </row>
        <row r="1015">
          <cell r="O1015" t="str">
            <v>S/AGFZE/CU/BCP/716/2025-26</v>
          </cell>
          <cell r="U1015">
            <v>20</v>
          </cell>
        </row>
        <row r="1016">
          <cell r="O1016" t="str">
            <v>S/AGFZE/CU/BCP/716/2025-26</v>
          </cell>
          <cell r="U1016">
            <v>20</v>
          </cell>
        </row>
        <row r="1017">
          <cell r="O1017" t="str">
            <v>S/AGFZE/CU/BCP/716/2025-26</v>
          </cell>
          <cell r="U1017">
            <v>20</v>
          </cell>
        </row>
        <row r="1018">
          <cell r="O1018" t="str">
            <v>S/AGFZE/AL/GIM/722/2025-26</v>
          </cell>
          <cell r="U1018"/>
        </row>
        <row r="1019">
          <cell r="O1019" t="str">
            <v>S/AGFZE/AL/VAL/723/2025-26</v>
          </cell>
          <cell r="U1019">
            <v>24</v>
          </cell>
        </row>
        <row r="1020">
          <cell r="O1020" t="str">
            <v>S/AGFZE/AL/VAL/723/2025-26</v>
          </cell>
          <cell r="U1020">
            <v>22.96</v>
          </cell>
        </row>
        <row r="1021">
          <cell r="O1021" t="str">
            <v>S/AGFZE/AL/VAL/723/2025-26</v>
          </cell>
          <cell r="U1021">
            <v>24</v>
          </cell>
        </row>
        <row r="1022">
          <cell r="O1022" t="str">
            <v>S/AGFZE/AL/VAL/723/2025-26</v>
          </cell>
          <cell r="U1022">
            <v>23.77</v>
          </cell>
        </row>
        <row r="1023">
          <cell r="O1023" t="str">
            <v>S/AGFZE/AL/VAL/723/2025-26</v>
          </cell>
          <cell r="U1023">
            <v>23.2</v>
          </cell>
        </row>
        <row r="1024">
          <cell r="O1024" t="str">
            <v>S/AGFZE/AL/BRM/724/2025-26</v>
          </cell>
          <cell r="U1024">
            <v>22.73</v>
          </cell>
        </row>
        <row r="1025">
          <cell r="O1025" t="str">
            <v>S/AGFZE/AL/DCL/725/2025-26</v>
          </cell>
          <cell r="U1025">
            <v>19.715</v>
          </cell>
        </row>
        <row r="1026">
          <cell r="O1026" t="str">
            <v>S/AGFZE/AL/DCL/725/2025-26</v>
          </cell>
          <cell r="U1026">
            <v>20.86</v>
          </cell>
        </row>
        <row r="1027">
          <cell r="O1027" t="str">
            <v>S/AGFZE/AL/DCL/725/2025-26</v>
          </cell>
          <cell r="U1027">
            <v>20.215</v>
          </cell>
        </row>
        <row r="1028">
          <cell r="O1028" t="str">
            <v>S/AGFZE/AL/DCL/725/2025-26</v>
          </cell>
          <cell r="U1028">
            <v>20.695</v>
          </cell>
        </row>
        <row r="1029">
          <cell r="O1029" t="str">
            <v>S/AGFZE/AL/DCL/725/2025-26</v>
          </cell>
          <cell r="U1029">
            <v>20.260000000000002</v>
          </cell>
        </row>
        <row r="1030">
          <cell r="O1030" t="str">
            <v>S/AGFZE/AL/DCL/725/2025-26</v>
          </cell>
          <cell r="U1030">
            <v>20.45</v>
          </cell>
        </row>
        <row r="1031">
          <cell r="O1031" t="str">
            <v>S/AGFZE/AL/DCL/725/2025-26</v>
          </cell>
          <cell r="U1031">
            <v>20.454999999999998</v>
          </cell>
        </row>
        <row r="1032">
          <cell r="O1032" t="str">
            <v>S/AGFZE/AL/DCL/725/2025-26</v>
          </cell>
          <cell r="U1032">
            <v>20.245000000000001</v>
          </cell>
        </row>
        <row r="1033">
          <cell r="O1033" t="str">
            <v>S/AGFZE/AL/CAL/726/2025-26</v>
          </cell>
          <cell r="U1033">
            <v>17.38</v>
          </cell>
        </row>
        <row r="1034">
          <cell r="O1034" t="str">
            <v>S/AGFZE/AL/GKA/727/2025-26</v>
          </cell>
          <cell r="U1034"/>
        </row>
        <row r="1035">
          <cell r="O1035" t="str">
            <v>S/AGFZE/AL/GKA/727/2025-26</v>
          </cell>
          <cell r="U1035">
            <v>24.34</v>
          </cell>
        </row>
        <row r="1036">
          <cell r="O1036" t="str">
            <v>S/AGFZE/AL/AML/728/2025-26</v>
          </cell>
          <cell r="U1036">
            <v>22.02</v>
          </cell>
        </row>
        <row r="1037">
          <cell r="O1037" t="str">
            <v>S/AGFZE/AL/GRM/729/2025-26</v>
          </cell>
          <cell r="U1037">
            <v>14.007</v>
          </cell>
        </row>
        <row r="1038">
          <cell r="O1038" t="str">
            <v>S/AGFZE/AL/GRM/729/2025-26</v>
          </cell>
          <cell r="U1038">
            <v>13.345000000000001</v>
          </cell>
        </row>
        <row r="1039">
          <cell r="O1039" t="str">
            <v>S/AGFZE/AL/GKF/747/2025-26</v>
          </cell>
          <cell r="U1039"/>
        </row>
        <row r="1040">
          <cell r="O1040" t="str">
            <v>S/AGFZE/AL/ATC/745/2025-26</v>
          </cell>
          <cell r="U1040">
            <v>20.3</v>
          </cell>
        </row>
        <row r="1041">
          <cell r="O1041" t="str">
            <v>S/AGFZE/AL/ATC/745/2025-26</v>
          </cell>
          <cell r="U1041">
            <v>19.164999999999999</v>
          </cell>
        </row>
        <row r="1042">
          <cell r="O1042" t="str">
            <v>S/AGFZE/AL/EA/744/2025-26</v>
          </cell>
          <cell r="U1042">
            <v>20.43</v>
          </cell>
        </row>
        <row r="1043">
          <cell r="O1043" t="str">
            <v>S/AGFZE/AL/EA/744/2025-26</v>
          </cell>
          <cell r="U1043">
            <v>20.384</v>
          </cell>
        </row>
        <row r="1044">
          <cell r="O1044" t="str">
            <v>S/AGFZE/AL/EA/744/2025-26</v>
          </cell>
          <cell r="U1044">
            <v>20.457000000000001</v>
          </cell>
        </row>
        <row r="1045">
          <cell r="O1045" t="str">
            <v>S/AGFZE/AL/EA/744/2025-26</v>
          </cell>
          <cell r="U1045">
            <v>20.384</v>
          </cell>
        </row>
        <row r="1046">
          <cell r="O1046" t="str">
            <v>S/AGFZE/AL/GIM/743/2025-26</v>
          </cell>
          <cell r="U1046">
            <v>22.41</v>
          </cell>
        </row>
        <row r="1047">
          <cell r="O1047" t="str">
            <v>S/AGFZE/AL/GIM/743/2025-26</v>
          </cell>
          <cell r="U1047">
            <v>23.01</v>
          </cell>
        </row>
        <row r="1048">
          <cell r="O1048" t="str">
            <v>S/AGFZE/AL/SAC/742/2025-26</v>
          </cell>
          <cell r="U1048">
            <v>23.65</v>
          </cell>
        </row>
        <row r="1049">
          <cell r="O1049" t="str">
            <v>S/AGFZE/AL/SAC/742/2025-26</v>
          </cell>
          <cell r="U1049">
            <v>23.42</v>
          </cell>
        </row>
        <row r="1050">
          <cell r="O1050" t="str">
            <v>S/AGFZE/AL/KE/741/2025-26</v>
          </cell>
          <cell r="U1050"/>
        </row>
        <row r="1051">
          <cell r="O1051" t="str">
            <v>S/AGFZE/AL/VES/749/2025-26</v>
          </cell>
          <cell r="U1051">
            <v>20.65</v>
          </cell>
        </row>
        <row r="1052">
          <cell r="O1052" t="str">
            <v>S/AGFZE/AL/KBU/748/2025-26</v>
          </cell>
          <cell r="U1052">
            <v>22.55</v>
          </cell>
        </row>
        <row r="1053">
          <cell r="O1053" t="str">
            <v>S/AGFZE/AL/KBU/748/2025-26</v>
          </cell>
          <cell r="U1053">
            <v>20.8</v>
          </cell>
        </row>
        <row r="1054">
          <cell r="O1054" t="str">
            <v>S/AGFZE/AL/VES/756/2025-26</v>
          </cell>
          <cell r="U1054">
            <v>23.74</v>
          </cell>
        </row>
        <row r="1055">
          <cell r="O1055" t="str">
            <v>S/AGFZE/AL/VES/756/2025-26</v>
          </cell>
          <cell r="U1055">
            <v>24</v>
          </cell>
        </row>
        <row r="1056">
          <cell r="O1056" t="str">
            <v>S/AGFZE/CU/NMR/635/2025-26</v>
          </cell>
          <cell r="U1056">
            <v>20.109000000000002</v>
          </cell>
        </row>
        <row r="1057">
          <cell r="O1057" t="str">
            <v>S/AGFZE/CU/NMR/635/2025-26</v>
          </cell>
          <cell r="U1057">
            <v>20.181000000000001</v>
          </cell>
        </row>
        <row r="1058">
          <cell r="O1058" t="str">
            <v>S/AGFZE/AL/PJA/765/2025-26</v>
          </cell>
          <cell r="U1058">
            <v>19.655000000000001</v>
          </cell>
        </row>
        <row r="1059">
          <cell r="O1059" t="str">
            <v>S/AGFZE/AL/PJA/765/2025-26</v>
          </cell>
          <cell r="U1059">
            <v>20.53</v>
          </cell>
        </row>
        <row r="1060">
          <cell r="O1060" t="str">
            <v>S/AGFZE/AL/KBU/764/2025-26</v>
          </cell>
          <cell r="U1060">
            <v>22.41</v>
          </cell>
        </row>
        <row r="1061">
          <cell r="O1061" t="str">
            <v>S/AGFZE/AL/MIP/772/2025-26</v>
          </cell>
          <cell r="U1061">
            <v>14</v>
          </cell>
        </row>
        <row r="1062">
          <cell r="O1062" t="str">
            <v>S/AGFZE/AL/MIP/772/2025-26</v>
          </cell>
          <cell r="U1062">
            <v>9.82</v>
          </cell>
        </row>
        <row r="1063">
          <cell r="O1063" t="str">
            <v>S/AGFZE/AL/SSI/774/2025-26</v>
          </cell>
          <cell r="U1063">
            <v>21.675999999999998</v>
          </cell>
        </row>
        <row r="1064">
          <cell r="O1064" t="str">
            <v>S/AGFZE/AL/GRM/773/2025-26</v>
          </cell>
          <cell r="U1064">
            <v>13.771000000000001</v>
          </cell>
        </row>
        <row r="1065">
          <cell r="O1065" t="str">
            <v>S/AGFZE/AL/GRM/773/2025-26</v>
          </cell>
          <cell r="U1065"/>
        </row>
        <row r="1066">
          <cell r="O1066" t="str">
            <v>S/AGFZE/AL/JE/780/2025-26</v>
          </cell>
          <cell r="U1066"/>
        </row>
        <row r="1067">
          <cell r="O1067" t="str">
            <v>S/AGFZE/AL/JE/780/2025-26</v>
          </cell>
          <cell r="U1067">
            <v>23.385000000000002</v>
          </cell>
        </row>
        <row r="1068">
          <cell r="O1068" t="str">
            <v>S/AGFZE/AL/VM/758/2025-26</v>
          </cell>
          <cell r="U1068">
            <v>23.6</v>
          </cell>
        </row>
        <row r="1069">
          <cell r="O1069" t="str">
            <v>S/AGFZE/AL/SM/025/2026-27</v>
          </cell>
          <cell r="U1069">
            <v>20.399999999999999</v>
          </cell>
        </row>
        <row r="1070">
          <cell r="O1070" t="str">
            <v>S/AGFZE/AL/SM/025/2026-27</v>
          </cell>
          <cell r="U1070">
            <v>21.74</v>
          </cell>
        </row>
        <row r="1071">
          <cell r="O1071" t="str">
            <v>S/AGFZE/AL/SM/025/2026-27</v>
          </cell>
          <cell r="U1071">
            <v>21.34</v>
          </cell>
        </row>
        <row r="1072">
          <cell r="O1072" t="str">
            <v>S/AGFZE/AL/SM/025/2026-27</v>
          </cell>
          <cell r="U1072">
            <v>20.28</v>
          </cell>
        </row>
        <row r="1073">
          <cell r="O1073" t="str">
            <v>S/AGFZE/AL/SM/025/2026-27</v>
          </cell>
          <cell r="U1073">
            <v>20.02</v>
          </cell>
        </row>
        <row r="1074">
          <cell r="O1074" t="str">
            <v>S/AGFZE/AL/PAP/043/2026-27</v>
          </cell>
          <cell r="U1074">
            <v>20.420000000000002</v>
          </cell>
        </row>
        <row r="1075">
          <cell r="O1075" t="str">
            <v>S/AGFZE/AL/PAP/043/2026-27</v>
          </cell>
          <cell r="U1075">
            <v>18.72</v>
          </cell>
        </row>
        <row r="1076">
          <cell r="O1076" t="str">
            <v>S/AGFZE/AL/PAP/044/2026-27</v>
          </cell>
          <cell r="U1076">
            <v>19.14</v>
          </cell>
        </row>
        <row r="1077">
          <cell r="O1077" t="str">
            <v>S/AGFZE/AL/PAP/044/2026-27</v>
          </cell>
          <cell r="U1077">
            <v>19.82</v>
          </cell>
        </row>
        <row r="1078">
          <cell r="O1078" t="str">
            <v>S/AGFZE/AL/PAP/044/2026-27</v>
          </cell>
          <cell r="U1078">
            <v>18.78</v>
          </cell>
        </row>
        <row r="1079">
          <cell r="O1079"/>
          <cell r="U1079"/>
        </row>
        <row r="1080">
          <cell r="O1080" t="str">
            <v>S/AGFZE/AL/JAL/023/2026-27</v>
          </cell>
          <cell r="U1080">
            <v>20.83</v>
          </cell>
        </row>
        <row r="1081">
          <cell r="O1081" t="str">
            <v>S/AGFZE/AL/JAL/023/2026-27</v>
          </cell>
          <cell r="U1081">
            <v>20.72</v>
          </cell>
        </row>
        <row r="1082">
          <cell r="O1082" t="str">
            <v>S/AGFZE/AL/CAL/022/2026-27</v>
          </cell>
          <cell r="U1082">
            <v>16.91</v>
          </cell>
        </row>
        <row r="1083">
          <cell r="O1083" t="str">
            <v>S/AGFZE/AL/KBU/021/2026-27</v>
          </cell>
          <cell r="U1083">
            <v>19.93</v>
          </cell>
        </row>
        <row r="1084">
          <cell r="O1084" t="str">
            <v>S/AGFZE/AL/SAE/020/2026-27</v>
          </cell>
          <cell r="U1084"/>
        </row>
        <row r="1085">
          <cell r="O1085" t="str">
            <v>S/AGFZE/AL/AMO/019/2026-27</v>
          </cell>
          <cell r="U1085">
            <v>23.09</v>
          </cell>
        </row>
        <row r="1086">
          <cell r="O1086" t="str">
            <v>S/AGFZE/AL/AMO/019/2026-27</v>
          </cell>
          <cell r="U1086">
            <v>24.32</v>
          </cell>
        </row>
        <row r="1087">
          <cell r="O1087" t="str">
            <v>S/AGFZE/AL/AMO/019/2026-27</v>
          </cell>
          <cell r="U1087">
            <v>24.98</v>
          </cell>
        </row>
        <row r="1088">
          <cell r="O1088" t="str">
            <v>S/AGFZE/AL/AMO/019/2026-27</v>
          </cell>
          <cell r="U1088">
            <v>22.66</v>
          </cell>
        </row>
        <row r="1089">
          <cell r="O1089" t="str">
            <v>S/AGFZE/AL/AMO/019/2026-27</v>
          </cell>
          <cell r="U1089">
            <v>23.27</v>
          </cell>
        </row>
        <row r="1090">
          <cell r="O1090" t="str">
            <v>S/AGFZE/AL/AMO/019/2026-27</v>
          </cell>
          <cell r="U1090">
            <v>24</v>
          </cell>
        </row>
        <row r="1091">
          <cell r="O1091" t="str">
            <v>S/AGFZE/AL/DE/018/2026-27</v>
          </cell>
          <cell r="U1091">
            <v>24</v>
          </cell>
        </row>
        <row r="1092">
          <cell r="O1092" t="str">
            <v>S/AGFZE/AL/YI/017/2026-27</v>
          </cell>
          <cell r="U1092">
            <v>23.59</v>
          </cell>
        </row>
        <row r="1093">
          <cell r="O1093" t="str">
            <v>S/AGFZE/AL/YI/016/2026-27</v>
          </cell>
          <cell r="U1093">
            <v>24.89</v>
          </cell>
        </row>
        <row r="1094">
          <cell r="O1094" t="str">
            <v>S/AGFZE/AL/YI/015/2026-27</v>
          </cell>
          <cell r="U1094"/>
        </row>
        <row r="1095">
          <cell r="O1095" t="str">
            <v>S/AGFZE/AL/KC/014/2026-27</v>
          </cell>
          <cell r="U1095">
            <v>23.91</v>
          </cell>
        </row>
        <row r="1096">
          <cell r="O1096" t="str">
            <v>S/AGFZE/AL/KC/014/2026-27</v>
          </cell>
          <cell r="U1096">
            <v>23.79</v>
          </cell>
        </row>
        <row r="1097">
          <cell r="O1097" t="str">
            <v>S/AGFZE/AL/KC/014/2026-27</v>
          </cell>
          <cell r="U1097">
            <v>20.43</v>
          </cell>
        </row>
        <row r="1098">
          <cell r="O1098" t="str">
            <v>S/AGFZE/AL/AML/013/2026-27</v>
          </cell>
          <cell r="U1098">
            <v>23.07</v>
          </cell>
        </row>
        <row r="1099">
          <cell r="O1099" t="str">
            <v>S/AGFZE/AL/KBU/012/2026-27</v>
          </cell>
          <cell r="U1099">
            <v>21.42</v>
          </cell>
        </row>
        <row r="1100">
          <cell r="O1100" t="str">
            <v>S/AGFZE/AL/KBU/012/2026-27</v>
          </cell>
          <cell r="U1100">
            <v>22.7</v>
          </cell>
        </row>
        <row r="1101">
          <cell r="O1101" t="str">
            <v>S/AGFZE/AL/KBU/012/2026-27</v>
          </cell>
          <cell r="U1101">
            <v>22.52</v>
          </cell>
        </row>
        <row r="1102">
          <cell r="O1102" t="str">
            <v>S/AGFZE/AL/KBU/012/2026-27</v>
          </cell>
          <cell r="U1102">
            <v>23.65</v>
          </cell>
        </row>
        <row r="1103">
          <cell r="O1103" t="str">
            <v>S/AGFZE/AL/PO/010/2026-27</v>
          </cell>
          <cell r="U1103">
            <v>24</v>
          </cell>
        </row>
        <row r="1104">
          <cell r="O1104" t="str">
            <v>S/AGFZE/AL/PM/011/2026-27</v>
          </cell>
          <cell r="U1104"/>
        </row>
        <row r="1105">
          <cell r="O1105" t="str">
            <v>S/AGFZE/AL/NCU/033/2026-27</v>
          </cell>
          <cell r="U1105">
            <v>21.018999999999998</v>
          </cell>
        </row>
        <row r="1106">
          <cell r="O1106"/>
          <cell r="U1106"/>
        </row>
        <row r="1107">
          <cell r="O1107"/>
          <cell r="U1107"/>
        </row>
        <row r="1108">
          <cell r="O1108"/>
          <cell r="U1108"/>
        </row>
        <row r="1109">
          <cell r="O1109"/>
          <cell r="U1109"/>
        </row>
        <row r="1110">
          <cell r="O1110" t="str">
            <v>S/AGFZE/CU/TTM/008/2026-27</v>
          </cell>
          <cell r="U1110"/>
        </row>
        <row r="1111">
          <cell r="O1111" t="str">
            <v>S/AGFZE/CU/RM/763/2025-26</v>
          </cell>
          <cell r="U1111"/>
        </row>
        <row r="1112">
          <cell r="O1112" t="str">
            <v>S/AGFZE/CU/RM/763/2025-26</v>
          </cell>
          <cell r="U1112"/>
        </row>
        <row r="1113">
          <cell r="O1113" t="str">
            <v>S/AGFZE/CU/RM/763/2025-26</v>
          </cell>
          <cell r="U1113"/>
        </row>
        <row r="1114">
          <cell r="O1114" t="str">
            <v>S/AGFZE/CU/RM/763/2025-26</v>
          </cell>
          <cell r="U1114"/>
        </row>
        <row r="1115">
          <cell r="O1115" t="str">
            <v>S/AGFZE/CU/CPL/719/2025-26</v>
          </cell>
          <cell r="U1115"/>
        </row>
        <row r="1116">
          <cell r="O1116" t="str">
            <v>S/AGFZE/CU/CC/031/2026-27</v>
          </cell>
          <cell r="U1116"/>
        </row>
        <row r="1117">
          <cell r="O1117" t="str">
            <v>S/AGFZE/CU/CC/031/2026-27</v>
          </cell>
          <cell r="U1117"/>
        </row>
        <row r="1118">
          <cell r="O1118" t="str">
            <v>S/AGFZE/AL/CAL/042/2026-27</v>
          </cell>
          <cell r="U1118">
            <v>19.899999999999999</v>
          </cell>
        </row>
        <row r="1119">
          <cell r="O1119" t="str">
            <v>S/AGFZE/AL/CAL/038/2026-27</v>
          </cell>
          <cell r="U1119">
            <v>17.010000000000002</v>
          </cell>
        </row>
        <row r="1120">
          <cell r="O1120" t="str">
            <v>S/AGFZE/AL/IAC/036/2026-27</v>
          </cell>
          <cell r="U1120">
            <v>13.816000000000001</v>
          </cell>
        </row>
        <row r="1121">
          <cell r="O1121" t="str">
            <v>S/AGFZE/AL/IAC/039/2026-27</v>
          </cell>
          <cell r="U1121"/>
        </row>
        <row r="1122">
          <cell r="O1122" t="str">
            <v>S/AGFZE/AL/IAC/035/2026-27</v>
          </cell>
          <cell r="U1122">
            <v>19.274000000000001</v>
          </cell>
        </row>
        <row r="1123">
          <cell r="O1123" t="str">
            <v>S/AGFZE/AL/EAP/034/2026-27</v>
          </cell>
          <cell r="U1123">
            <v>18.253</v>
          </cell>
        </row>
        <row r="1124">
          <cell r="O1124" t="str">
            <v>S/AGFZE/AL/EAP/034/2026-27</v>
          </cell>
          <cell r="U1124">
            <v>19.105</v>
          </cell>
        </row>
        <row r="1125">
          <cell r="O1125" t="str">
            <v>S/AGFZE/AL/CAL/037/2026-27</v>
          </cell>
          <cell r="U1125"/>
        </row>
        <row r="1126">
          <cell r="O1126" t="str">
            <v>S/AGFZE/AL/CAL/037/2026-27</v>
          </cell>
          <cell r="U1126"/>
        </row>
        <row r="1127">
          <cell r="O1127" t="str">
            <v>S/AGFZE/AL/SAI/746/2025-26</v>
          </cell>
          <cell r="U1127">
            <v>15.378</v>
          </cell>
        </row>
        <row r="1128">
          <cell r="O1128" t="str">
            <v>S/AGFZE/AL/SM/040/2026-27</v>
          </cell>
          <cell r="U1128">
            <v>14.07</v>
          </cell>
        </row>
        <row r="1129">
          <cell r="O1129" t="str">
            <v>S/AGFZE/AL/GRM/050/2026-27</v>
          </cell>
          <cell r="U1129">
            <v>19.975999999999999</v>
          </cell>
        </row>
        <row r="1130">
          <cell r="O1130" t="str">
            <v>S/AGFZE/AL/GRM/050/2026-27</v>
          </cell>
          <cell r="U1130">
            <v>19.994</v>
          </cell>
        </row>
        <row r="1131">
          <cell r="O1131" t="str">
            <v>S/AGFZE/AL/SI/054/2026-27</v>
          </cell>
          <cell r="U1131">
            <v>20.167000000000002</v>
          </cell>
        </row>
        <row r="1132">
          <cell r="O1132" t="str">
            <v>S/AGFZE/AL/SI/054/2026-27</v>
          </cell>
          <cell r="U1132">
            <v>19.114000000000001</v>
          </cell>
        </row>
        <row r="1133">
          <cell r="O1133" t="str">
            <v>S/AGFZE/AL/SI/054/2026-27</v>
          </cell>
          <cell r="U1133">
            <v>19.849</v>
          </cell>
        </row>
        <row r="1134">
          <cell r="O1134" t="str">
            <v>S/AGFZE/CUZN/PRI/053/2026-27</v>
          </cell>
          <cell r="U1134"/>
        </row>
        <row r="1135">
          <cell r="O1135" t="str">
            <v>S/AGFZE/CU/NIE/055/2026-27</v>
          </cell>
          <cell r="U1135"/>
        </row>
        <row r="1136">
          <cell r="O1136" t="str">
            <v>S/AGFZE/CU/CPL/056/2026-27</v>
          </cell>
          <cell r="U1136"/>
        </row>
        <row r="1137">
          <cell r="O1137" t="str">
            <v>S/AGFZE/CU/CPL/056/2026-27</v>
          </cell>
          <cell r="U1137"/>
        </row>
        <row r="1138">
          <cell r="O1138" t="str">
            <v>S/AGFZE/CU/CPL/056/2026-27</v>
          </cell>
          <cell r="U1138"/>
        </row>
        <row r="1139">
          <cell r="O1139" t="str">
            <v>S/AGFZE/CU/CPL/056/2026-27</v>
          </cell>
          <cell r="U1139"/>
        </row>
        <row r="1140">
          <cell r="O1140"/>
          <cell r="U1140"/>
        </row>
        <row r="1141">
          <cell r="O1141"/>
          <cell r="U1141"/>
        </row>
        <row r="1142">
          <cell r="O1142"/>
          <cell r="U1142"/>
        </row>
        <row r="1143">
          <cell r="O1143"/>
          <cell r="U1143"/>
        </row>
        <row r="1144">
          <cell r="O1144"/>
          <cell r="U1144"/>
        </row>
        <row r="1145">
          <cell r="O1145"/>
          <cell r="U1145"/>
        </row>
        <row r="1146">
          <cell r="O1146"/>
          <cell r="U1146"/>
        </row>
        <row r="1147">
          <cell r="O1147"/>
          <cell r="U1147"/>
        </row>
        <row r="1148">
          <cell r="O1148"/>
          <cell r="U1148"/>
        </row>
        <row r="1149">
          <cell r="O1149"/>
          <cell r="U1149"/>
        </row>
        <row r="1150">
          <cell r="O1150"/>
          <cell r="U1150"/>
        </row>
        <row r="1151">
          <cell r="O1151"/>
          <cell r="U1151"/>
        </row>
        <row r="1152">
          <cell r="O1152"/>
          <cell r="U1152"/>
        </row>
        <row r="1153">
          <cell r="O1153"/>
          <cell r="U1153"/>
        </row>
        <row r="1154">
          <cell r="O1154"/>
          <cell r="U1154"/>
        </row>
        <row r="1155">
          <cell r="O1155"/>
          <cell r="U1155"/>
        </row>
        <row r="1156">
          <cell r="O1156"/>
          <cell r="U1156"/>
        </row>
        <row r="1157">
          <cell r="O1157"/>
          <cell r="U1157"/>
        </row>
        <row r="1158">
          <cell r="O1158"/>
          <cell r="U1158"/>
        </row>
        <row r="1159">
          <cell r="O1159"/>
          <cell r="U1159"/>
        </row>
        <row r="1160">
          <cell r="O1160"/>
          <cell r="U1160"/>
        </row>
        <row r="1161">
          <cell r="O1161"/>
          <cell r="U1161"/>
        </row>
        <row r="1162">
          <cell r="O1162"/>
          <cell r="U1162"/>
        </row>
        <row r="1163">
          <cell r="O1163"/>
          <cell r="U1163"/>
        </row>
        <row r="1164">
          <cell r="O1164"/>
          <cell r="U1164"/>
        </row>
        <row r="1165">
          <cell r="O1165"/>
          <cell r="U1165"/>
        </row>
        <row r="1166">
          <cell r="O1166"/>
          <cell r="U1166"/>
        </row>
        <row r="1167">
          <cell r="O1167" t="str">
            <v>S/AGFZE/CU/NL/685/2025-26</v>
          </cell>
          <cell r="U1167">
            <v>26.33</v>
          </cell>
        </row>
        <row r="1168">
          <cell r="O1168" t="str">
            <v>S/AGFZE/CU/NL/685/2025-26</v>
          </cell>
          <cell r="U1168">
            <v>26.13</v>
          </cell>
        </row>
        <row r="1169">
          <cell r="O1169" t="str">
            <v>S/AGFZE/CU/NL/685/2025-26</v>
          </cell>
          <cell r="U1169">
            <v>27.13</v>
          </cell>
        </row>
        <row r="1170">
          <cell r="O1170" t="str">
            <v>S/AGFZE/CU/NL/685/2025-26</v>
          </cell>
          <cell r="U1170">
            <v>27.25</v>
          </cell>
        </row>
        <row r="1171">
          <cell r="O1171" t="str">
            <v>S/AGFZE/CU/NL/759/2025-26</v>
          </cell>
          <cell r="U1171">
            <v>27.3</v>
          </cell>
        </row>
        <row r="1172">
          <cell r="O1172"/>
          <cell r="U1172"/>
        </row>
        <row r="1173">
          <cell r="O1173"/>
          <cell r="U1173"/>
        </row>
        <row r="1174">
          <cell r="O1174"/>
          <cell r="U1174"/>
        </row>
        <row r="1175">
          <cell r="O1175"/>
          <cell r="U1175"/>
        </row>
        <row r="1176">
          <cell r="O1176"/>
          <cell r="U1176"/>
        </row>
        <row r="1177">
          <cell r="O1177"/>
          <cell r="U1177"/>
        </row>
        <row r="1178">
          <cell r="O1178"/>
          <cell r="U1178"/>
        </row>
        <row r="1179">
          <cell r="O1179"/>
          <cell r="U1179"/>
        </row>
        <row r="1180">
          <cell r="O1180"/>
          <cell r="U1180"/>
        </row>
        <row r="1181">
          <cell r="O1181"/>
          <cell r="U1181"/>
        </row>
        <row r="1182">
          <cell r="O1182"/>
          <cell r="U1182"/>
        </row>
        <row r="1183">
          <cell r="O1183"/>
          <cell r="U1183"/>
        </row>
        <row r="1184">
          <cell r="O1184"/>
          <cell r="U1184"/>
        </row>
        <row r="1185">
          <cell r="O1185"/>
          <cell r="U1185"/>
        </row>
        <row r="1186">
          <cell r="O1186"/>
          <cell r="U1186"/>
        </row>
        <row r="1187">
          <cell r="O1187"/>
          <cell r="U1187"/>
        </row>
        <row r="1188">
          <cell r="O1188"/>
          <cell r="U1188"/>
        </row>
        <row r="1189">
          <cell r="O1189"/>
          <cell r="U1189"/>
        </row>
        <row r="1190">
          <cell r="U1190"/>
        </row>
        <row r="1191">
          <cell r="O1191"/>
          <cell r="U1191"/>
        </row>
        <row r="1192">
          <cell r="O1192"/>
          <cell r="U1192"/>
        </row>
        <row r="1193">
          <cell r="O1193"/>
          <cell r="U1193"/>
        </row>
        <row r="1194">
          <cell r="O1194"/>
          <cell r="U1194"/>
        </row>
        <row r="1195">
          <cell r="O1195"/>
          <cell r="U1195"/>
        </row>
        <row r="1196">
          <cell r="O1196"/>
          <cell r="U1196"/>
        </row>
        <row r="1197">
          <cell r="O1197"/>
          <cell r="U1197"/>
        </row>
        <row r="1198">
          <cell r="O1198"/>
          <cell r="U1198"/>
        </row>
        <row r="1199">
          <cell r="O1199"/>
          <cell r="U1199"/>
        </row>
        <row r="1200">
          <cell r="O1200"/>
          <cell r="U1200"/>
        </row>
        <row r="1201">
          <cell r="O1201"/>
          <cell r="U1201"/>
        </row>
        <row r="1202">
          <cell r="O1202"/>
          <cell r="U1202"/>
        </row>
        <row r="1203">
          <cell r="O1203"/>
          <cell r="U1203"/>
        </row>
        <row r="1204">
          <cell r="O1204"/>
          <cell r="U1204"/>
        </row>
        <row r="1205">
          <cell r="O1205"/>
          <cell r="U1205"/>
        </row>
        <row r="1206">
          <cell r="O1206"/>
          <cell r="U1206"/>
        </row>
        <row r="1207">
          <cell r="O1207"/>
          <cell r="U1207"/>
        </row>
        <row r="1208">
          <cell r="O1208" t="str">
            <v>S/AGFZE/CU/RRW/711/2025-26</v>
          </cell>
          <cell r="U1208"/>
        </row>
        <row r="1209">
          <cell r="O1209" t="str">
            <v>S/AGFZE/CU/RRW/711/2025-26</v>
          </cell>
          <cell r="U1209"/>
        </row>
        <row r="1210">
          <cell r="O1210" t="str">
            <v>S/AGFZE/CU/RRW/712/2025-26</v>
          </cell>
          <cell r="U1210"/>
        </row>
        <row r="1211">
          <cell r="O1211" t="str">
            <v>S/AGFZE/CU/ITT/768/2025-26</v>
          </cell>
          <cell r="U1211"/>
        </row>
        <row r="1212">
          <cell r="O1212" t="str">
            <v>S/AGFZE/CU/BCP/716/2025-26</v>
          </cell>
          <cell r="U1212">
            <v>20.407</v>
          </cell>
        </row>
        <row r="1213">
          <cell r="O1213" t="str">
            <v>S/AGFZE/CU/BCP/716/2025-26</v>
          </cell>
          <cell r="U1213">
            <v>20.57</v>
          </cell>
        </row>
        <row r="1214">
          <cell r="O1214" t="str">
            <v>S/AGFZE/CU/BCP/716/2025-26</v>
          </cell>
          <cell r="U1214">
            <v>21.5</v>
          </cell>
        </row>
        <row r="1215">
          <cell r="O1215" t="str">
            <v>S/AGFZE/AL/JVS/781/2025-26</v>
          </cell>
          <cell r="U1215">
            <v>21.356000000000002</v>
          </cell>
        </row>
        <row r="1216">
          <cell r="O1216"/>
          <cell r="U1216"/>
        </row>
        <row r="1217">
          <cell r="O1217"/>
          <cell r="U1217"/>
        </row>
        <row r="1218">
          <cell r="O1218"/>
          <cell r="U1218"/>
        </row>
        <row r="1219">
          <cell r="O1219"/>
          <cell r="U1219"/>
        </row>
        <row r="1220">
          <cell r="O1220"/>
          <cell r="U1220"/>
        </row>
        <row r="1221">
          <cell r="O1221"/>
          <cell r="U1221"/>
        </row>
        <row r="1222">
          <cell r="O1222"/>
          <cell r="U1222"/>
        </row>
        <row r="1223">
          <cell r="O1223"/>
          <cell r="U1223"/>
        </row>
        <row r="1224">
          <cell r="O1224"/>
          <cell r="U1224"/>
        </row>
        <row r="1225">
          <cell r="O1225"/>
          <cell r="U1225"/>
        </row>
        <row r="1226">
          <cell r="O1226"/>
          <cell r="U1226"/>
        </row>
        <row r="1227">
          <cell r="O1227"/>
          <cell r="U1227"/>
        </row>
        <row r="1228">
          <cell r="O1228"/>
          <cell r="U1228"/>
        </row>
        <row r="1229">
          <cell r="O1229"/>
          <cell r="U1229"/>
        </row>
        <row r="1230">
          <cell r="O1230"/>
          <cell r="U1230"/>
        </row>
        <row r="1231">
          <cell r="O1231"/>
          <cell r="U1231"/>
        </row>
        <row r="1232">
          <cell r="O1232"/>
          <cell r="U1232"/>
        </row>
        <row r="1233">
          <cell r="O1233"/>
          <cell r="U1233"/>
        </row>
        <row r="1234">
          <cell r="O1234"/>
          <cell r="U1234"/>
        </row>
        <row r="1235">
          <cell r="O1235"/>
          <cell r="U1235"/>
        </row>
        <row r="1236">
          <cell r="O1236"/>
          <cell r="U1236"/>
        </row>
        <row r="1237">
          <cell r="O1237"/>
          <cell r="U1237"/>
        </row>
        <row r="1238">
          <cell r="O1238"/>
          <cell r="U1238"/>
        </row>
        <row r="1239">
          <cell r="O1239"/>
          <cell r="U1239"/>
        </row>
        <row r="1240">
          <cell r="O1240"/>
          <cell r="U1240"/>
        </row>
        <row r="1241">
          <cell r="O1241"/>
          <cell r="U1241"/>
        </row>
        <row r="1242">
          <cell r="O1242"/>
          <cell r="U1242"/>
        </row>
        <row r="1243">
          <cell r="O1243"/>
          <cell r="U1243"/>
        </row>
        <row r="1244">
          <cell r="O1244"/>
          <cell r="U1244"/>
        </row>
        <row r="1245">
          <cell r="O1245"/>
          <cell r="U1245"/>
        </row>
        <row r="1246">
          <cell r="O1246"/>
          <cell r="U1246"/>
        </row>
        <row r="1247">
          <cell r="O1247"/>
          <cell r="U1247"/>
        </row>
        <row r="1248">
          <cell r="O1248"/>
          <cell r="U1248"/>
        </row>
        <row r="1249">
          <cell r="U1249"/>
        </row>
        <row r="1250">
          <cell r="U1250"/>
        </row>
        <row r="1251">
          <cell r="U1251"/>
        </row>
        <row r="1252">
          <cell r="U1252"/>
        </row>
        <row r="1253">
          <cell r="U1253"/>
        </row>
        <row r="1254">
          <cell r="U1254"/>
        </row>
        <row r="1255">
          <cell r="U1255"/>
        </row>
        <row r="1256">
          <cell r="U1256"/>
        </row>
        <row r="1257">
          <cell r="U1257"/>
        </row>
        <row r="1258">
          <cell r="U1258"/>
        </row>
        <row r="1259">
          <cell r="U1259"/>
        </row>
        <row r="1260">
          <cell r="U1260"/>
        </row>
        <row r="1261">
          <cell r="U1261"/>
        </row>
        <row r="1262">
          <cell r="U1262"/>
        </row>
        <row r="1263">
          <cell r="U1263"/>
        </row>
        <row r="1264">
          <cell r="U1264"/>
        </row>
        <row r="1265">
          <cell r="U1265"/>
        </row>
        <row r="1266">
          <cell r="U1266"/>
        </row>
        <row r="1267">
          <cell r="U1267"/>
        </row>
        <row r="1268">
          <cell r="U1268"/>
        </row>
        <row r="1269">
          <cell r="U1269"/>
        </row>
        <row r="1270">
          <cell r="U1270"/>
        </row>
        <row r="1271">
          <cell r="U1271"/>
        </row>
        <row r="1272">
          <cell r="U1272"/>
        </row>
        <row r="1273">
          <cell r="U1273"/>
        </row>
        <row r="1274">
          <cell r="U1274"/>
        </row>
        <row r="1275">
          <cell r="U1275"/>
        </row>
        <row r="1276">
          <cell r="U1276"/>
        </row>
        <row r="1277">
          <cell r="U1277"/>
        </row>
        <row r="1278">
          <cell r="U1278"/>
        </row>
        <row r="1279">
          <cell r="U1279"/>
        </row>
        <row r="1280">
          <cell r="U1280"/>
        </row>
        <row r="1281">
          <cell r="U1281"/>
        </row>
        <row r="1282">
          <cell r="U1282"/>
        </row>
        <row r="1283">
          <cell r="U1283"/>
        </row>
        <row r="1284">
          <cell r="U1284"/>
        </row>
        <row r="1285">
          <cell r="U1285"/>
        </row>
        <row r="1286">
          <cell r="U1286"/>
        </row>
        <row r="1287">
          <cell r="U1287"/>
        </row>
        <row r="1288">
          <cell r="U1288"/>
        </row>
        <row r="1289">
          <cell r="U1289"/>
        </row>
        <row r="1290">
          <cell r="U1290"/>
        </row>
        <row r="1291">
          <cell r="U1291"/>
        </row>
        <row r="1292">
          <cell r="U1292"/>
        </row>
        <row r="1293">
          <cell r="U1293"/>
        </row>
        <row r="1294">
          <cell r="U1294"/>
        </row>
        <row r="1295">
          <cell r="U1295"/>
        </row>
        <row r="1296">
          <cell r="O1296"/>
          <cell r="U1296"/>
        </row>
        <row r="1300">
          <cell r="U1300"/>
        </row>
        <row r="1301">
          <cell r="U1301"/>
        </row>
        <row r="1302">
          <cell r="U1302"/>
        </row>
        <row r="1303">
          <cell r="U1303"/>
        </row>
        <row r="1304">
          <cell r="U1304"/>
        </row>
        <row r="1305">
          <cell r="U1305"/>
        </row>
        <row r="1306">
          <cell r="U1306"/>
        </row>
        <row r="1307">
          <cell r="U1307"/>
        </row>
        <row r="1313">
          <cell r="U1313"/>
        </row>
        <row r="1314">
          <cell r="U1314"/>
        </row>
        <row r="1315">
          <cell r="U1315"/>
        </row>
        <row r="1316">
          <cell r="U1316"/>
        </row>
        <row r="1317">
          <cell r="U1317"/>
        </row>
        <row r="1318">
          <cell r="U1318"/>
        </row>
        <row r="1319">
          <cell r="U1319"/>
        </row>
        <row r="1320">
          <cell r="U1320"/>
        </row>
        <row r="1321">
          <cell r="U1321"/>
        </row>
        <row r="1322">
          <cell r="U1322"/>
        </row>
        <row r="1323">
          <cell r="U1323"/>
        </row>
        <row r="1324">
          <cell r="U1324"/>
        </row>
        <row r="1325">
          <cell r="U1325"/>
        </row>
        <row r="1326">
          <cell r="U1326"/>
        </row>
        <row r="1327">
          <cell r="U1327"/>
        </row>
        <row r="1328">
          <cell r="U1328"/>
        </row>
        <row r="1329">
          <cell r="U1329"/>
        </row>
        <row r="1330">
          <cell r="U1330"/>
        </row>
        <row r="1331">
          <cell r="U1331"/>
        </row>
        <row r="1352">
          <cell r="O1352"/>
          <cell r="U1352"/>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my.jiang@futureie.com" TargetMode="External"/><Relationship Id="rId2" Type="http://schemas.openxmlformats.org/officeDocument/2006/relationships/hyperlink" Target="mailto:ningbocarol@126.com" TargetMode="External"/><Relationship Id="rId1" Type="http://schemas.openxmlformats.org/officeDocument/2006/relationships/hyperlink" Target="TEL:0086-574-87275231" TargetMode="External"/><Relationship Id="rId5" Type="http://schemas.openxmlformats.org/officeDocument/2006/relationships/printerSettings" Target="../printerSettings/printerSettings1.bin"/><Relationship Id="rId4" Type="http://schemas.openxmlformats.org/officeDocument/2006/relationships/hyperlink" Target="mailto:amy.jiang@futureie.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www.adani.com/" TargetMode="External"/><Relationship Id="rId1" Type="http://schemas.openxmlformats.org/officeDocument/2006/relationships/hyperlink" Target="http://www.adani.com/"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www.adani.com/" TargetMode="External"/><Relationship Id="rId1" Type="http://schemas.openxmlformats.org/officeDocument/2006/relationships/hyperlink" Target="http://www.adani.com/" TargetMode="Externa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www.adani.com/" TargetMode="External"/><Relationship Id="rId1" Type="http://schemas.openxmlformats.org/officeDocument/2006/relationships/hyperlink" Target="http://www.adani.com/"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www.adani.com/" TargetMode="External"/><Relationship Id="rId1" Type="http://schemas.openxmlformats.org/officeDocument/2006/relationships/hyperlink" Target="http://www.adani.com/" TargetMode="External"/><Relationship Id="rId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hyperlink" Target="http://www.adan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52386-98CF-4BD2-8F44-BA4FF09A3F57}">
  <dimension ref="C1:AX402"/>
  <sheetViews>
    <sheetView zoomScale="85" zoomScaleNormal="85" workbookViewId="0">
      <pane xSplit="3" ySplit="2" topLeftCell="D3" activePane="bottomRight" state="frozen"/>
      <selection pane="topRight" activeCell="D1" sqref="D1"/>
      <selection pane="bottomLeft" activeCell="A3" sqref="A3"/>
      <selection pane="bottomRight" activeCell="B6" sqref="B6"/>
    </sheetView>
  </sheetViews>
  <sheetFormatPr defaultRowHeight="15"/>
  <cols>
    <col min="2" max="2" width="40.5703125" bestFit="1" customWidth="1"/>
    <col min="3" max="3" width="5.140625" bestFit="1" customWidth="1"/>
    <col min="4" max="4" width="10.42578125" bestFit="1" customWidth="1"/>
    <col min="5" max="5" width="7.28515625" bestFit="1" customWidth="1"/>
    <col min="6" max="6" width="9.85546875" hidden="1" customWidth="1"/>
    <col min="7" max="7" width="5" bestFit="1" customWidth="1"/>
    <col min="8" max="8" width="53.28515625" bestFit="1" customWidth="1"/>
    <col min="9" max="9" width="30.28515625" bestFit="1" customWidth="1"/>
    <col min="10" max="11" width="68.7109375" bestFit="1" customWidth="1"/>
    <col min="12" max="12" width="12.42578125" style="113" customWidth="1"/>
    <col min="13" max="13" width="18.7109375" bestFit="1" customWidth="1"/>
    <col min="14" max="14" width="19" bestFit="1" customWidth="1"/>
    <col min="15" max="15" width="25.140625" bestFit="1" customWidth="1"/>
    <col min="16" max="16" width="18.28515625" style="34" bestFit="1" customWidth="1"/>
    <col min="17" max="17" width="43.28515625" style="104" bestFit="1" customWidth="1"/>
    <col min="18" max="18" width="56.140625" style="34" bestFit="1" customWidth="1"/>
    <col min="19" max="19" width="56.42578125" bestFit="1" customWidth="1"/>
    <col min="20" max="20" width="11.85546875" style="34" bestFit="1" customWidth="1"/>
    <col min="21" max="22" width="14.7109375" bestFit="1" customWidth="1"/>
    <col min="23" max="23" width="15" style="34" bestFit="1" customWidth="1"/>
    <col min="24" max="24" width="15.140625" bestFit="1" customWidth="1"/>
    <col min="25" max="25" width="51.42578125" bestFit="1" customWidth="1"/>
    <col min="26" max="26" width="6.5703125" bestFit="1" customWidth="1"/>
    <col min="27" max="27" width="10.140625" customWidth="1"/>
    <col min="28" max="28" width="7.28515625" bestFit="1" customWidth="1"/>
    <col min="29" max="29" width="36.85546875" bestFit="1" customWidth="1"/>
    <col min="30" max="30" width="7.7109375" bestFit="1" customWidth="1"/>
    <col min="31" max="31" width="4.140625" bestFit="1" customWidth="1"/>
    <col min="32" max="32" width="47.5703125" bestFit="1" customWidth="1"/>
    <col min="33" max="33" width="37.85546875" customWidth="1"/>
    <col min="34" max="34" width="26.28515625" bestFit="1" customWidth="1"/>
    <col min="35" max="35" width="9" bestFit="1" customWidth="1"/>
    <col min="36" max="36" width="10.140625" bestFit="1" customWidth="1"/>
    <col min="37" max="37" width="10.42578125" style="74" customWidth="1"/>
    <col min="38" max="38" width="11" hidden="1" customWidth="1"/>
    <col min="39" max="39" width="11.140625" hidden="1" customWidth="1"/>
    <col min="40" max="41" width="10" hidden="1" customWidth="1"/>
    <col min="42" max="42" width="19" hidden="1" customWidth="1"/>
    <col min="43" max="44" width="17.5703125" style="34" hidden="1" customWidth="1"/>
    <col min="45" max="45" width="24" style="34" hidden="1" customWidth="1"/>
    <col min="46" max="46" width="24.28515625" style="34" hidden="1" customWidth="1"/>
    <col min="47" max="47" width="20.42578125" style="34" hidden="1" customWidth="1"/>
    <col min="48" max="48" width="30.28515625" style="34" hidden="1" customWidth="1"/>
    <col min="49" max="50" width="9.140625" style="34"/>
  </cols>
  <sheetData>
    <row r="1" spans="3:50" ht="21">
      <c r="C1" s="51"/>
      <c r="D1" s="51"/>
      <c r="E1" s="51"/>
      <c r="F1" s="51"/>
      <c r="G1" s="51"/>
      <c r="H1" s="51"/>
      <c r="I1" s="51"/>
      <c r="J1" s="51"/>
      <c r="K1" s="51"/>
      <c r="L1" s="51"/>
      <c r="M1" s="51"/>
      <c r="N1" s="51"/>
      <c r="O1" s="51"/>
      <c r="P1" s="100"/>
      <c r="R1" s="100"/>
      <c r="S1" s="51"/>
      <c r="T1" s="100"/>
      <c r="U1" s="51"/>
      <c r="V1" s="51"/>
      <c r="W1" s="100"/>
      <c r="X1" s="51"/>
      <c r="Y1" s="51"/>
      <c r="Z1" s="51"/>
      <c r="AA1" s="108">
        <f>SUM(AA3:AA26948)</f>
        <v>461</v>
      </c>
      <c r="AB1" s="51"/>
      <c r="AC1" s="51"/>
      <c r="AD1" s="51"/>
      <c r="AE1" s="51"/>
      <c r="AF1" s="51"/>
      <c r="AG1" s="51"/>
      <c r="AH1" s="51"/>
      <c r="AI1" s="51"/>
      <c r="AJ1" s="74"/>
      <c r="AK1"/>
      <c r="AN1" s="111" t="e">
        <f>SUM(AN3:AN26948)</f>
        <v>#VALUE!</v>
      </c>
      <c r="AO1" s="111" t="e">
        <f>SUM(AO3:AO26948)</f>
        <v>#VALUE!</v>
      </c>
      <c r="AP1" s="145" t="s">
        <v>188</v>
      </c>
      <c r="AQ1" s="146"/>
      <c r="AR1" s="146"/>
      <c r="AS1" s="146"/>
      <c r="AT1" s="146"/>
      <c r="AU1" s="146"/>
      <c r="AV1" s="146"/>
    </row>
    <row r="2" spans="3:50" s="2" customFormat="1" ht="54" customHeight="1">
      <c r="C2" s="131" t="s">
        <v>44</v>
      </c>
      <c r="D2" s="131" t="s">
        <v>43</v>
      </c>
      <c r="E2" s="131" t="s">
        <v>45</v>
      </c>
      <c r="F2" s="131" t="s">
        <v>37</v>
      </c>
      <c r="G2" s="131" t="s">
        <v>38</v>
      </c>
      <c r="H2" s="131" t="s">
        <v>46</v>
      </c>
      <c r="I2" s="131" t="s">
        <v>47</v>
      </c>
      <c r="J2" s="131" t="s">
        <v>111</v>
      </c>
      <c r="K2" s="131" t="s">
        <v>48</v>
      </c>
      <c r="L2" s="131" t="s">
        <v>112</v>
      </c>
      <c r="M2" s="131" t="s">
        <v>49</v>
      </c>
      <c r="N2" s="131" t="s">
        <v>50</v>
      </c>
      <c r="O2" s="131" t="s">
        <v>51</v>
      </c>
      <c r="P2" s="132" t="s">
        <v>119</v>
      </c>
      <c r="Q2" s="132" t="s">
        <v>52</v>
      </c>
      <c r="R2" s="132" t="s">
        <v>53</v>
      </c>
      <c r="S2" s="131" t="s">
        <v>54</v>
      </c>
      <c r="T2" s="132" t="s">
        <v>55</v>
      </c>
      <c r="U2" s="131" t="s">
        <v>56</v>
      </c>
      <c r="V2" s="131" t="s">
        <v>39</v>
      </c>
      <c r="W2" s="132" t="s">
        <v>81</v>
      </c>
      <c r="X2" s="131" t="s">
        <v>57</v>
      </c>
      <c r="Y2" s="131" t="s">
        <v>120</v>
      </c>
      <c r="Z2" s="131" t="s">
        <v>58</v>
      </c>
      <c r="AA2" s="131" t="s">
        <v>59</v>
      </c>
      <c r="AB2" s="131" t="s">
        <v>60</v>
      </c>
      <c r="AC2" s="131" t="s">
        <v>61</v>
      </c>
      <c r="AD2" s="131" t="s">
        <v>62</v>
      </c>
      <c r="AE2" s="131" t="s">
        <v>40</v>
      </c>
      <c r="AF2" s="131" t="s">
        <v>63</v>
      </c>
      <c r="AG2" s="131" t="s">
        <v>64</v>
      </c>
      <c r="AH2" s="131" t="s">
        <v>87</v>
      </c>
      <c r="AI2" s="131" t="s">
        <v>82</v>
      </c>
      <c r="AJ2" s="131" t="s">
        <v>107</v>
      </c>
      <c r="AK2" s="133" t="s">
        <v>108</v>
      </c>
      <c r="AL2" s="134" t="s">
        <v>176</v>
      </c>
      <c r="AM2" s="134" t="s">
        <v>177</v>
      </c>
      <c r="AN2" s="109" t="s">
        <v>174</v>
      </c>
      <c r="AO2" s="110" t="s">
        <v>175</v>
      </c>
      <c r="AP2" s="106" t="s">
        <v>182</v>
      </c>
      <c r="AQ2" s="106" t="s">
        <v>181</v>
      </c>
      <c r="AR2" s="106" t="s">
        <v>183</v>
      </c>
      <c r="AS2" s="106" t="s">
        <v>184</v>
      </c>
      <c r="AT2" s="106" t="s">
        <v>185</v>
      </c>
      <c r="AU2" s="106" t="s">
        <v>186</v>
      </c>
      <c r="AV2" s="106" t="s">
        <v>187</v>
      </c>
      <c r="AW2" s="102"/>
      <c r="AX2" s="102"/>
    </row>
    <row r="3" spans="3:50" s="83" customFormat="1" ht="21" customHeight="1">
      <c r="C3" s="75" t="s">
        <v>128</v>
      </c>
      <c r="D3" s="53">
        <v>46113</v>
      </c>
      <c r="E3" s="52" t="s">
        <v>103</v>
      </c>
      <c r="F3" s="52" t="s">
        <v>41</v>
      </c>
      <c r="G3" s="52" t="s">
        <v>130</v>
      </c>
      <c r="H3" s="73" t="s">
        <v>129</v>
      </c>
      <c r="I3" s="114" t="str">
        <f t="shared" ref="I3:I6" si="0">CONCATENATE("S/AGFZE/",E3,"/",G3,"/",C3,"/","2026-27")</f>
        <v>S/AGFZE/CU/NS/001/2026-27</v>
      </c>
      <c r="J3" s="73" t="s">
        <v>131</v>
      </c>
      <c r="K3" s="73" t="s">
        <v>136</v>
      </c>
      <c r="L3" s="56" t="s">
        <v>116</v>
      </c>
      <c r="M3" s="56"/>
      <c r="N3" s="56"/>
      <c r="O3" s="56"/>
      <c r="P3" s="73" t="s">
        <v>133</v>
      </c>
      <c r="Q3" s="104" t="s">
        <v>132</v>
      </c>
      <c r="R3" s="73" t="s">
        <v>134</v>
      </c>
      <c r="S3" s="73" t="s">
        <v>124</v>
      </c>
      <c r="T3" s="73"/>
      <c r="U3" s="73" t="s">
        <v>125</v>
      </c>
      <c r="V3" s="56" t="s">
        <v>125</v>
      </c>
      <c r="W3" s="73" t="s">
        <v>117</v>
      </c>
      <c r="X3" s="52"/>
      <c r="Y3" s="52" t="str">
        <f>IF(X3="","","(INLAND HAULAGE CHARGES ON BUYER’S ACCOUNT)")</f>
        <v/>
      </c>
      <c r="Z3" s="56" t="s">
        <v>42</v>
      </c>
      <c r="AA3" s="52">
        <v>40</v>
      </c>
      <c r="AB3" s="75" t="s">
        <v>102</v>
      </c>
      <c r="AC3" s="56" t="s">
        <v>109</v>
      </c>
      <c r="AD3" s="75" t="s">
        <v>126</v>
      </c>
      <c r="AE3" s="75">
        <v>20</v>
      </c>
      <c r="AF3" s="73" t="s">
        <v>135</v>
      </c>
      <c r="AG3" s="76" t="s">
        <v>118</v>
      </c>
      <c r="AH3" s="76" t="s">
        <v>127</v>
      </c>
      <c r="AI3" s="77">
        <v>98</v>
      </c>
      <c r="AJ3" s="52">
        <v>0</v>
      </c>
      <c r="AK3" s="78" t="s">
        <v>113</v>
      </c>
      <c r="AL3" s="98" t="s">
        <v>41</v>
      </c>
      <c r="AM3" s="98">
        <v>25</v>
      </c>
      <c r="AN3" s="107" t="e">
        <f>SUMIF('[1]2026-27'!$O:$O,I3,'[1]2026-27'!$U:$U)</f>
        <v>#VALUE!</v>
      </c>
      <c r="AO3" s="107" t="e">
        <f t="shared" ref="AO3:AO4" si="1">AA3-AN3</f>
        <v>#VALUE!</v>
      </c>
      <c r="AP3" s="98"/>
      <c r="AQ3" s="103"/>
      <c r="AR3" s="103"/>
      <c r="AS3" s="103"/>
      <c r="AT3" s="103"/>
      <c r="AU3" s="103"/>
      <c r="AV3" s="103"/>
      <c r="AW3" s="101"/>
      <c r="AX3" s="101"/>
    </row>
    <row r="4" spans="3:50" s="83" customFormat="1" ht="21" customHeight="1">
      <c r="C4" s="75" t="s">
        <v>223</v>
      </c>
      <c r="D4" s="117">
        <v>46120</v>
      </c>
      <c r="E4" s="118" t="s">
        <v>194</v>
      </c>
      <c r="F4" s="118"/>
      <c r="G4" s="118" t="s">
        <v>195</v>
      </c>
      <c r="H4" s="119" t="s">
        <v>196</v>
      </c>
      <c r="I4" s="120" t="str">
        <f t="shared" si="0"/>
        <v>S/AGFZE/AL/PO/002/2026-27</v>
      </c>
      <c r="J4" s="119" t="s">
        <v>197</v>
      </c>
      <c r="K4" s="119" t="s">
        <v>198</v>
      </c>
      <c r="L4" s="121" t="s">
        <v>199</v>
      </c>
      <c r="M4" s="121" t="s">
        <v>200</v>
      </c>
      <c r="N4" s="121" t="s">
        <v>201</v>
      </c>
      <c r="O4" s="121" t="s">
        <v>202</v>
      </c>
      <c r="P4" s="119"/>
      <c r="Q4" s="104" t="s">
        <v>203</v>
      </c>
      <c r="R4" s="119" t="s">
        <v>204</v>
      </c>
      <c r="S4" s="119" t="s">
        <v>205</v>
      </c>
      <c r="T4" s="119" t="s">
        <v>206</v>
      </c>
      <c r="U4" s="119" t="s">
        <v>207</v>
      </c>
      <c r="V4" s="121" t="s">
        <v>208</v>
      </c>
      <c r="W4" s="119" t="s">
        <v>209</v>
      </c>
      <c r="X4" s="130" t="s">
        <v>210</v>
      </c>
      <c r="Y4" s="118" t="s">
        <v>211</v>
      </c>
      <c r="Z4" s="121" t="s">
        <v>42</v>
      </c>
      <c r="AA4" s="118">
        <v>21</v>
      </c>
      <c r="AB4" s="122" t="s">
        <v>102</v>
      </c>
      <c r="AC4" s="121" t="s">
        <v>212</v>
      </c>
      <c r="AD4" s="122">
        <v>1</v>
      </c>
      <c r="AE4" s="122">
        <v>20</v>
      </c>
      <c r="AF4" s="119" t="s">
        <v>213</v>
      </c>
      <c r="AG4" s="123" t="s">
        <v>214</v>
      </c>
      <c r="AH4" s="123"/>
      <c r="AI4" s="124">
        <v>0</v>
      </c>
      <c r="AJ4" s="125">
        <v>2265</v>
      </c>
      <c r="AK4" s="126" t="s">
        <v>113</v>
      </c>
      <c r="AL4" s="127" t="s">
        <v>215</v>
      </c>
      <c r="AM4" s="127">
        <v>0</v>
      </c>
      <c r="AN4" s="128" t="e">
        <f>SUMIF('[1]2026-27'!$O:$O,I4,'[1]2026-27'!$U:$U)</f>
        <v>#VALUE!</v>
      </c>
      <c r="AO4" s="128" t="e">
        <f t="shared" si="1"/>
        <v>#VALUE!</v>
      </c>
      <c r="AP4" s="98" t="s">
        <v>216</v>
      </c>
      <c r="AQ4" s="103" t="s">
        <v>217</v>
      </c>
      <c r="AR4" s="103" t="s">
        <v>218</v>
      </c>
      <c r="AS4" s="103" t="s">
        <v>219</v>
      </c>
      <c r="AT4" s="103" t="s">
        <v>220</v>
      </c>
      <c r="AU4" s="103" t="s">
        <v>221</v>
      </c>
      <c r="AV4" s="103" t="s">
        <v>222</v>
      </c>
      <c r="AW4" s="101"/>
      <c r="AX4" s="101"/>
    </row>
    <row r="5" spans="3:50" s="83" customFormat="1" ht="21" customHeight="1">
      <c r="C5" s="75" t="s">
        <v>224</v>
      </c>
      <c r="D5" s="53">
        <v>46136</v>
      </c>
      <c r="E5" s="52" t="s">
        <v>103</v>
      </c>
      <c r="F5" s="52"/>
      <c r="G5" s="52" t="s">
        <v>225</v>
      </c>
      <c r="H5" s="73" t="s">
        <v>226</v>
      </c>
      <c r="I5" s="120" t="str">
        <f t="shared" si="0"/>
        <v>S/AGFZE/CU/NC/003/2026-27</v>
      </c>
      <c r="J5" s="73" t="s">
        <v>227</v>
      </c>
      <c r="K5" s="73" t="s">
        <v>228</v>
      </c>
      <c r="L5" s="56" t="s">
        <v>116</v>
      </c>
      <c r="M5" s="56"/>
      <c r="N5" s="56"/>
      <c r="O5" s="56"/>
      <c r="P5" s="73" t="s">
        <v>229</v>
      </c>
      <c r="Q5" s="104" t="s">
        <v>230</v>
      </c>
      <c r="R5" s="129" t="s">
        <v>231</v>
      </c>
      <c r="S5" s="73" t="s">
        <v>232</v>
      </c>
      <c r="T5" s="73"/>
      <c r="U5" s="56" t="s">
        <v>233</v>
      </c>
      <c r="V5" s="56"/>
      <c r="W5" s="73" t="s">
        <v>117</v>
      </c>
      <c r="X5" s="73"/>
      <c r="Y5" s="52"/>
      <c r="Z5" s="121" t="s">
        <v>42</v>
      </c>
      <c r="AA5" s="52">
        <v>300</v>
      </c>
      <c r="AB5" s="122" t="s">
        <v>102</v>
      </c>
      <c r="AC5" s="121" t="s">
        <v>234</v>
      </c>
      <c r="AD5" s="75">
        <v>12</v>
      </c>
      <c r="AE5" s="75">
        <v>20</v>
      </c>
      <c r="AF5" s="119" t="s">
        <v>213</v>
      </c>
      <c r="AG5" s="76" t="s">
        <v>118</v>
      </c>
      <c r="AH5" s="76" t="s">
        <v>127</v>
      </c>
      <c r="AI5" s="77">
        <v>96.85</v>
      </c>
      <c r="AJ5" s="52"/>
      <c r="AK5" s="78" t="s">
        <v>113</v>
      </c>
      <c r="AL5" s="98" t="s">
        <v>41</v>
      </c>
      <c r="AM5" s="98">
        <v>25</v>
      </c>
      <c r="AN5" s="107"/>
      <c r="AO5" s="107"/>
      <c r="AP5" s="98"/>
      <c r="AQ5" s="103"/>
      <c r="AR5" s="103"/>
      <c r="AS5" s="103"/>
      <c r="AT5" s="103"/>
      <c r="AU5" s="103"/>
      <c r="AV5" s="103"/>
      <c r="AW5" s="101"/>
      <c r="AX5" s="101"/>
    </row>
    <row r="6" spans="3:50" s="83" customFormat="1" ht="21" customHeight="1">
      <c r="C6" s="75" t="s">
        <v>235</v>
      </c>
      <c r="D6" s="53">
        <v>46179</v>
      </c>
      <c r="E6" s="52" t="s">
        <v>103</v>
      </c>
      <c r="F6" s="52"/>
      <c r="G6" s="52" t="s">
        <v>225</v>
      </c>
      <c r="H6" s="73" t="s">
        <v>226</v>
      </c>
      <c r="I6" s="120" t="str">
        <f t="shared" si="0"/>
        <v>S/AGFZE/CU/NC/004/2026-27</v>
      </c>
      <c r="J6" s="73" t="s">
        <v>227</v>
      </c>
      <c r="K6" s="73" t="s">
        <v>228</v>
      </c>
      <c r="L6" s="56" t="s">
        <v>116</v>
      </c>
      <c r="M6" s="56"/>
      <c r="N6" s="56"/>
      <c r="O6" s="56"/>
      <c r="P6" s="73" t="s">
        <v>229</v>
      </c>
      <c r="Q6" s="104" t="s">
        <v>230</v>
      </c>
      <c r="R6" s="129" t="s">
        <v>231</v>
      </c>
      <c r="S6" s="73" t="s">
        <v>236</v>
      </c>
      <c r="T6" s="73" t="s">
        <v>237</v>
      </c>
      <c r="U6" s="56" t="s">
        <v>238</v>
      </c>
      <c r="V6" s="56" t="s">
        <v>238</v>
      </c>
      <c r="W6" s="73" t="s">
        <v>239</v>
      </c>
      <c r="X6" s="52"/>
      <c r="Y6" s="52"/>
      <c r="Z6" s="121" t="s">
        <v>42</v>
      </c>
      <c r="AA6" s="52">
        <v>100</v>
      </c>
      <c r="AB6" s="122" t="s">
        <v>102</v>
      </c>
      <c r="AC6" s="121" t="s">
        <v>234</v>
      </c>
      <c r="AD6" s="75">
        <v>5</v>
      </c>
      <c r="AE6" s="75">
        <v>20</v>
      </c>
      <c r="AF6" s="119" t="s">
        <v>213</v>
      </c>
      <c r="AG6" s="76" t="s">
        <v>118</v>
      </c>
      <c r="AH6" s="76" t="s">
        <v>127</v>
      </c>
      <c r="AI6" s="77">
        <v>96.85</v>
      </c>
      <c r="AJ6" s="52">
        <v>5000</v>
      </c>
      <c r="AK6" s="78" t="s">
        <v>113</v>
      </c>
      <c r="AL6" s="98"/>
      <c r="AM6" s="98"/>
      <c r="AN6" s="107"/>
      <c r="AO6" s="107"/>
      <c r="AP6" s="98"/>
      <c r="AQ6" s="103"/>
      <c r="AR6" s="103"/>
      <c r="AS6" s="103"/>
      <c r="AT6" s="103"/>
      <c r="AU6" s="103"/>
      <c r="AV6" s="103"/>
      <c r="AW6" s="101"/>
      <c r="AX6" s="101"/>
    </row>
    <row r="7" spans="3:50" s="83" customFormat="1" ht="21" customHeight="1">
      <c r="C7" s="75"/>
      <c r="D7" s="53"/>
      <c r="E7" s="52"/>
      <c r="F7" s="52"/>
      <c r="G7" s="52"/>
      <c r="H7" s="73"/>
      <c r="I7" s="57"/>
      <c r="J7" s="73"/>
      <c r="K7" s="73"/>
      <c r="L7" s="56"/>
      <c r="M7" s="56"/>
      <c r="N7" s="56"/>
      <c r="O7" s="56"/>
      <c r="P7" s="73"/>
      <c r="Q7" s="104"/>
      <c r="R7" s="73"/>
      <c r="S7" s="73"/>
      <c r="T7" s="73"/>
      <c r="U7" s="56"/>
      <c r="V7" s="56"/>
      <c r="W7" s="73"/>
      <c r="X7" s="52"/>
      <c r="Y7" s="52"/>
      <c r="Z7" s="56"/>
      <c r="AA7" s="52"/>
      <c r="AB7" s="75"/>
      <c r="AC7" s="56"/>
      <c r="AD7" s="75"/>
      <c r="AE7" s="75"/>
      <c r="AF7" s="73"/>
      <c r="AG7" s="76"/>
      <c r="AH7" s="76"/>
      <c r="AI7" s="77"/>
      <c r="AJ7" s="52"/>
      <c r="AK7" s="78"/>
      <c r="AL7" s="98"/>
      <c r="AM7" s="98"/>
      <c r="AN7" s="107"/>
      <c r="AO7" s="107"/>
      <c r="AP7" s="98"/>
      <c r="AQ7" s="103"/>
      <c r="AR7" s="103"/>
      <c r="AS7" s="103"/>
      <c r="AT7" s="103"/>
      <c r="AU7" s="103"/>
      <c r="AV7" s="103"/>
      <c r="AW7" s="101"/>
      <c r="AX7" s="101"/>
    </row>
    <row r="8" spans="3:50" s="83" customFormat="1" ht="21" customHeight="1">
      <c r="C8" s="75"/>
      <c r="D8" s="53"/>
      <c r="E8" s="52"/>
      <c r="F8" s="52"/>
      <c r="G8" s="52"/>
      <c r="H8" s="73"/>
      <c r="I8" s="57"/>
      <c r="J8" s="73"/>
      <c r="K8" s="73"/>
      <c r="L8" s="56"/>
      <c r="M8" s="56"/>
      <c r="N8" s="56"/>
      <c r="O8" s="56"/>
      <c r="P8" s="73"/>
      <c r="Q8" s="104"/>
      <c r="R8" s="73"/>
      <c r="S8" s="73"/>
      <c r="T8" s="73"/>
      <c r="U8" s="56"/>
      <c r="V8" s="56"/>
      <c r="W8" s="73"/>
      <c r="X8" s="52"/>
      <c r="Y8" s="52"/>
      <c r="Z8" s="56"/>
      <c r="AA8" s="52"/>
      <c r="AB8" s="75"/>
      <c r="AC8" s="56"/>
      <c r="AD8" s="75"/>
      <c r="AE8" s="75"/>
      <c r="AF8" s="73"/>
      <c r="AG8" s="76"/>
      <c r="AH8" s="76"/>
      <c r="AI8" s="77"/>
      <c r="AJ8" s="52"/>
      <c r="AK8" s="78"/>
      <c r="AL8" s="98"/>
      <c r="AM8" s="98"/>
      <c r="AN8" s="107"/>
      <c r="AO8" s="107"/>
      <c r="AP8" s="98"/>
      <c r="AQ8" s="103"/>
      <c r="AR8" s="103"/>
      <c r="AS8" s="103"/>
      <c r="AT8" s="103"/>
      <c r="AU8" s="103"/>
      <c r="AV8" s="103"/>
      <c r="AW8" s="101"/>
      <c r="AX8" s="101"/>
    </row>
    <row r="9" spans="3:50" s="83" customFormat="1" ht="21" customHeight="1">
      <c r="C9" s="75"/>
      <c r="D9" s="53"/>
      <c r="E9" s="52"/>
      <c r="F9" s="52"/>
      <c r="G9" s="52"/>
      <c r="H9" s="73"/>
      <c r="I9" s="57"/>
      <c r="J9" s="73"/>
      <c r="K9" s="73"/>
      <c r="L9" s="56"/>
      <c r="M9" s="56"/>
      <c r="N9" s="56"/>
      <c r="O9" s="56"/>
      <c r="P9" s="73"/>
      <c r="Q9" s="104"/>
      <c r="R9" s="73"/>
      <c r="S9" s="73"/>
      <c r="T9" s="73"/>
      <c r="U9" s="56"/>
      <c r="V9" s="56"/>
      <c r="W9" s="73"/>
      <c r="X9" s="52"/>
      <c r="Y9" s="52"/>
      <c r="Z9" s="56"/>
      <c r="AA9" s="52"/>
      <c r="AB9" s="75"/>
      <c r="AC9" s="56"/>
      <c r="AD9" s="75"/>
      <c r="AE9" s="75"/>
      <c r="AF9" s="73"/>
      <c r="AG9" s="76"/>
      <c r="AH9" s="76"/>
      <c r="AI9" s="77"/>
      <c r="AJ9" s="52"/>
      <c r="AK9" s="78"/>
      <c r="AL9" s="98"/>
      <c r="AM9" s="98"/>
      <c r="AN9" s="107"/>
      <c r="AO9" s="107"/>
      <c r="AP9" s="98"/>
      <c r="AQ9" s="103"/>
      <c r="AR9" s="103"/>
      <c r="AS9" s="103"/>
      <c r="AT9" s="103"/>
      <c r="AU9" s="103"/>
      <c r="AV9" s="103"/>
      <c r="AW9" s="101"/>
      <c r="AX9" s="101"/>
    </row>
    <row r="10" spans="3:50" s="83" customFormat="1" ht="21" customHeight="1">
      <c r="C10" s="75"/>
      <c r="D10" s="53"/>
      <c r="E10" s="52"/>
      <c r="F10" s="52"/>
      <c r="G10" s="52"/>
      <c r="H10" s="73"/>
      <c r="I10" s="57"/>
      <c r="J10" s="73"/>
      <c r="K10" s="73"/>
      <c r="L10" s="56"/>
      <c r="M10" s="56"/>
      <c r="N10" s="56"/>
      <c r="O10" s="56"/>
      <c r="P10" s="73"/>
      <c r="Q10" s="104"/>
      <c r="R10" s="73"/>
      <c r="S10" s="73"/>
      <c r="T10" s="73"/>
      <c r="U10" s="56"/>
      <c r="V10" s="56"/>
      <c r="W10" s="73"/>
      <c r="X10" s="52"/>
      <c r="Y10" s="52"/>
      <c r="Z10" s="56"/>
      <c r="AA10" s="52"/>
      <c r="AB10" s="75"/>
      <c r="AC10" s="56"/>
      <c r="AD10" s="75"/>
      <c r="AE10" s="75"/>
      <c r="AF10" s="73"/>
      <c r="AG10" s="76"/>
      <c r="AH10" s="76"/>
      <c r="AI10" s="77"/>
      <c r="AJ10" s="52"/>
      <c r="AK10" s="78"/>
      <c r="AL10" s="98"/>
      <c r="AM10" s="98"/>
      <c r="AN10" s="107"/>
      <c r="AO10" s="107"/>
      <c r="AP10" s="98"/>
      <c r="AQ10" s="103"/>
      <c r="AR10" s="103"/>
      <c r="AS10" s="103"/>
      <c r="AT10" s="103"/>
      <c r="AU10" s="103"/>
      <c r="AV10" s="103"/>
      <c r="AW10" s="101"/>
      <c r="AX10" s="101"/>
    </row>
    <row r="11" spans="3:50" s="83" customFormat="1" ht="21" customHeight="1">
      <c r="C11" s="75"/>
      <c r="D11" s="53"/>
      <c r="E11" s="52"/>
      <c r="F11" s="52"/>
      <c r="G11" s="52"/>
      <c r="H11" s="73"/>
      <c r="I11" s="57"/>
      <c r="J11" s="73"/>
      <c r="K11" s="73"/>
      <c r="L11" s="56"/>
      <c r="M11" s="56"/>
      <c r="N11" s="56"/>
      <c r="O11" s="56"/>
      <c r="P11" s="73"/>
      <c r="Q11" s="104"/>
      <c r="R11" s="73"/>
      <c r="S11" s="73"/>
      <c r="T11" s="73"/>
      <c r="U11" s="56"/>
      <c r="V11" s="56"/>
      <c r="W11" s="73"/>
      <c r="X11" s="52"/>
      <c r="Y11" s="52"/>
      <c r="Z11" s="56"/>
      <c r="AA11" s="52"/>
      <c r="AB11" s="75"/>
      <c r="AC11" s="56"/>
      <c r="AD11" s="75"/>
      <c r="AE11" s="75"/>
      <c r="AF11" s="73"/>
      <c r="AG11" s="76"/>
      <c r="AH11" s="76"/>
      <c r="AI11" s="77"/>
      <c r="AJ11" s="52"/>
      <c r="AK11" s="78"/>
      <c r="AL11" s="98"/>
      <c r="AM11" s="98"/>
      <c r="AN11" s="107"/>
      <c r="AO11" s="107"/>
      <c r="AP11" s="98"/>
      <c r="AQ11" s="103"/>
      <c r="AR11" s="103"/>
      <c r="AS11" s="103"/>
      <c r="AT11" s="103"/>
      <c r="AU11" s="103"/>
      <c r="AV11" s="103"/>
      <c r="AW11" s="101"/>
      <c r="AX11" s="101"/>
    </row>
    <row r="12" spans="3:50" s="83" customFormat="1" ht="21" customHeight="1">
      <c r="C12" s="75"/>
      <c r="D12" s="53"/>
      <c r="E12" s="52"/>
      <c r="F12" s="52"/>
      <c r="G12" s="52"/>
      <c r="H12" s="73"/>
      <c r="I12" s="57"/>
      <c r="J12" s="73"/>
      <c r="K12" s="73"/>
      <c r="L12" s="56"/>
      <c r="M12" s="56"/>
      <c r="N12" s="56"/>
      <c r="O12" s="56"/>
      <c r="P12" s="73"/>
      <c r="Q12" s="104"/>
      <c r="R12" s="73"/>
      <c r="S12" s="73"/>
      <c r="T12" s="73"/>
      <c r="U12" s="56"/>
      <c r="V12" s="56"/>
      <c r="W12" s="73"/>
      <c r="X12" s="52"/>
      <c r="Y12" s="52"/>
      <c r="Z12" s="56"/>
      <c r="AA12" s="52"/>
      <c r="AB12" s="75"/>
      <c r="AC12" s="56"/>
      <c r="AD12" s="75"/>
      <c r="AE12" s="75"/>
      <c r="AF12" s="73"/>
      <c r="AG12" s="76"/>
      <c r="AH12" s="76"/>
      <c r="AI12" s="77"/>
      <c r="AJ12" s="52"/>
      <c r="AK12" s="78"/>
      <c r="AL12" s="98"/>
      <c r="AM12" s="98"/>
      <c r="AN12" s="107"/>
      <c r="AO12" s="107"/>
      <c r="AP12" s="98"/>
      <c r="AQ12" s="103"/>
      <c r="AR12" s="103"/>
      <c r="AS12" s="103"/>
      <c r="AT12" s="103"/>
      <c r="AU12" s="103"/>
      <c r="AV12" s="103"/>
      <c r="AW12" s="101"/>
      <c r="AX12" s="101"/>
    </row>
    <row r="13" spans="3:50" s="83" customFormat="1" ht="21" customHeight="1">
      <c r="C13" s="75"/>
      <c r="D13" s="53"/>
      <c r="E13" s="52"/>
      <c r="F13" s="52"/>
      <c r="G13" s="52"/>
      <c r="H13" s="73"/>
      <c r="I13" s="57"/>
      <c r="J13" s="73"/>
      <c r="K13" s="73"/>
      <c r="L13" s="56"/>
      <c r="M13" s="56"/>
      <c r="N13" s="56"/>
      <c r="O13" s="56"/>
      <c r="P13" s="73"/>
      <c r="Q13" s="104"/>
      <c r="R13" s="73"/>
      <c r="S13" s="73"/>
      <c r="T13" s="73"/>
      <c r="U13" s="56"/>
      <c r="V13" s="56"/>
      <c r="W13" s="73"/>
      <c r="X13" s="52"/>
      <c r="Y13" s="52"/>
      <c r="Z13" s="56"/>
      <c r="AA13" s="52"/>
      <c r="AB13" s="75"/>
      <c r="AC13" s="56"/>
      <c r="AD13" s="75"/>
      <c r="AE13" s="75"/>
      <c r="AF13" s="73"/>
      <c r="AG13" s="76"/>
      <c r="AH13" s="76"/>
      <c r="AI13" s="77"/>
      <c r="AJ13" s="52"/>
      <c r="AK13" s="78"/>
      <c r="AL13" s="98"/>
      <c r="AM13" s="98"/>
      <c r="AN13" s="107"/>
      <c r="AO13" s="107"/>
      <c r="AP13" s="98"/>
      <c r="AQ13" s="103"/>
      <c r="AR13" s="103"/>
      <c r="AS13" s="103"/>
      <c r="AT13" s="103"/>
      <c r="AU13" s="103"/>
      <c r="AV13" s="103"/>
      <c r="AW13" s="101"/>
      <c r="AX13" s="101"/>
    </row>
    <row r="14" spans="3:50" s="83" customFormat="1" ht="21" customHeight="1">
      <c r="C14" s="75"/>
      <c r="D14" s="53"/>
      <c r="E14" s="52"/>
      <c r="F14" s="52"/>
      <c r="G14" s="52"/>
      <c r="H14" s="73"/>
      <c r="I14" s="57"/>
      <c r="J14" s="73"/>
      <c r="K14" s="73"/>
      <c r="L14" s="56"/>
      <c r="M14" s="56"/>
      <c r="N14" s="56"/>
      <c r="O14" s="56"/>
      <c r="P14" s="73"/>
      <c r="Q14" s="104"/>
      <c r="R14" s="73"/>
      <c r="S14" s="73"/>
      <c r="T14" s="73"/>
      <c r="U14" s="56"/>
      <c r="V14" s="56"/>
      <c r="W14" s="73"/>
      <c r="X14" s="52"/>
      <c r="Y14" s="52"/>
      <c r="Z14" s="56"/>
      <c r="AA14" s="52"/>
      <c r="AB14" s="75"/>
      <c r="AC14" s="56"/>
      <c r="AD14" s="75"/>
      <c r="AE14" s="75"/>
      <c r="AF14" s="73"/>
      <c r="AG14" s="76"/>
      <c r="AH14" s="76"/>
      <c r="AI14" s="77"/>
      <c r="AJ14" s="52"/>
      <c r="AK14" s="78"/>
      <c r="AL14" s="98"/>
      <c r="AM14" s="98"/>
      <c r="AN14" s="107"/>
      <c r="AO14" s="107"/>
      <c r="AP14" s="98"/>
      <c r="AQ14" s="103"/>
      <c r="AR14" s="103"/>
      <c r="AS14" s="103"/>
      <c r="AT14" s="103"/>
      <c r="AU14" s="103"/>
      <c r="AV14" s="103"/>
      <c r="AW14" s="101"/>
      <c r="AX14" s="101"/>
    </row>
    <row r="15" spans="3:50" s="83" customFormat="1" ht="21" customHeight="1">
      <c r="C15" s="75"/>
      <c r="D15" s="53"/>
      <c r="E15" s="52"/>
      <c r="F15" s="52"/>
      <c r="G15" s="52"/>
      <c r="H15" s="73"/>
      <c r="I15" s="57"/>
      <c r="J15" s="73"/>
      <c r="K15" s="73"/>
      <c r="L15" s="56"/>
      <c r="M15" s="56"/>
      <c r="N15" s="56"/>
      <c r="O15" s="56"/>
      <c r="P15" s="73"/>
      <c r="Q15" s="104"/>
      <c r="R15" s="73"/>
      <c r="S15" s="73"/>
      <c r="T15" s="73"/>
      <c r="U15" s="56"/>
      <c r="V15" s="56"/>
      <c r="W15" s="73"/>
      <c r="X15" s="52"/>
      <c r="Y15" s="52"/>
      <c r="Z15" s="56"/>
      <c r="AA15" s="52"/>
      <c r="AB15" s="75"/>
      <c r="AC15" s="56"/>
      <c r="AD15" s="75"/>
      <c r="AE15" s="75"/>
      <c r="AF15" s="73"/>
      <c r="AG15" s="76"/>
      <c r="AH15" s="76"/>
      <c r="AI15" s="77"/>
      <c r="AJ15" s="52"/>
      <c r="AK15" s="78"/>
      <c r="AL15" s="98"/>
      <c r="AM15" s="98"/>
      <c r="AN15" s="107"/>
      <c r="AO15" s="107"/>
      <c r="AP15" s="98"/>
      <c r="AQ15" s="103"/>
      <c r="AR15" s="103"/>
      <c r="AS15" s="103"/>
      <c r="AT15" s="103"/>
      <c r="AU15" s="103"/>
      <c r="AV15" s="103"/>
      <c r="AW15" s="101"/>
      <c r="AX15" s="101"/>
    </row>
    <row r="16" spans="3:50" s="83" customFormat="1" ht="21" customHeight="1">
      <c r="C16" s="75"/>
      <c r="D16" s="53"/>
      <c r="E16" s="52"/>
      <c r="F16" s="52"/>
      <c r="G16" s="52"/>
      <c r="H16" s="73"/>
      <c r="I16" s="57"/>
      <c r="J16" s="73"/>
      <c r="K16" s="73"/>
      <c r="L16" s="56"/>
      <c r="M16" s="56"/>
      <c r="N16" s="56"/>
      <c r="O16" s="56"/>
      <c r="P16" s="73"/>
      <c r="Q16" s="104"/>
      <c r="R16" s="73"/>
      <c r="S16" s="73"/>
      <c r="T16" s="73"/>
      <c r="U16" s="56"/>
      <c r="V16" s="56"/>
      <c r="W16" s="73"/>
      <c r="X16" s="52"/>
      <c r="Y16" s="52"/>
      <c r="Z16" s="56"/>
      <c r="AA16" s="52"/>
      <c r="AB16" s="75"/>
      <c r="AC16" s="56"/>
      <c r="AD16" s="75"/>
      <c r="AE16" s="75"/>
      <c r="AF16" s="73"/>
      <c r="AG16" s="76"/>
      <c r="AH16" s="76"/>
      <c r="AI16" s="77"/>
      <c r="AJ16" s="52"/>
      <c r="AK16" s="78"/>
      <c r="AL16" s="98"/>
      <c r="AM16" s="98"/>
      <c r="AN16" s="107"/>
      <c r="AO16" s="107"/>
      <c r="AP16" s="98"/>
      <c r="AQ16" s="103"/>
      <c r="AR16" s="103"/>
      <c r="AS16" s="103"/>
      <c r="AT16" s="103"/>
      <c r="AU16" s="103"/>
      <c r="AV16" s="103"/>
      <c r="AW16" s="101"/>
      <c r="AX16" s="101"/>
    </row>
    <row r="17" spans="3:50" s="83" customFormat="1" ht="21" customHeight="1">
      <c r="C17" s="75"/>
      <c r="D17" s="53"/>
      <c r="E17" s="52"/>
      <c r="F17" s="52"/>
      <c r="G17" s="52"/>
      <c r="H17" s="73"/>
      <c r="I17" s="57"/>
      <c r="J17" s="73"/>
      <c r="K17" s="73"/>
      <c r="L17" s="56"/>
      <c r="M17" s="56"/>
      <c r="N17" s="56"/>
      <c r="O17" s="56"/>
      <c r="P17" s="73"/>
      <c r="Q17" s="104"/>
      <c r="R17" s="73"/>
      <c r="S17" s="73"/>
      <c r="T17" s="73"/>
      <c r="U17" s="56"/>
      <c r="V17" s="56"/>
      <c r="W17" s="73"/>
      <c r="X17" s="52"/>
      <c r="Y17" s="52"/>
      <c r="Z17" s="56"/>
      <c r="AA17" s="52"/>
      <c r="AB17" s="75"/>
      <c r="AC17" s="56"/>
      <c r="AD17" s="75"/>
      <c r="AE17" s="75"/>
      <c r="AF17" s="73"/>
      <c r="AG17" s="76"/>
      <c r="AH17" s="76"/>
      <c r="AI17" s="77"/>
      <c r="AJ17" s="52"/>
      <c r="AK17" s="78"/>
      <c r="AL17" s="98"/>
      <c r="AM17" s="98"/>
      <c r="AN17" s="107"/>
      <c r="AO17" s="107"/>
      <c r="AP17" s="98"/>
      <c r="AQ17" s="103"/>
      <c r="AR17" s="103"/>
      <c r="AS17" s="103"/>
      <c r="AT17" s="103"/>
      <c r="AU17" s="103"/>
      <c r="AV17" s="103"/>
      <c r="AW17" s="101"/>
      <c r="AX17" s="101"/>
    </row>
    <row r="18" spans="3:50" s="83" customFormat="1" ht="21" customHeight="1">
      <c r="C18" s="75"/>
      <c r="D18" s="53"/>
      <c r="E18" s="52"/>
      <c r="F18" s="52"/>
      <c r="G18" s="52"/>
      <c r="H18" s="73"/>
      <c r="I18" s="57"/>
      <c r="J18" s="73"/>
      <c r="K18" s="73"/>
      <c r="L18" s="56"/>
      <c r="M18" s="56"/>
      <c r="N18" s="56"/>
      <c r="O18" s="56"/>
      <c r="P18" s="73"/>
      <c r="Q18" s="104"/>
      <c r="R18" s="73"/>
      <c r="S18" s="73"/>
      <c r="T18" s="73"/>
      <c r="U18" s="56"/>
      <c r="V18" s="56"/>
      <c r="W18" s="73"/>
      <c r="X18" s="52"/>
      <c r="Y18" s="52"/>
      <c r="Z18" s="56"/>
      <c r="AA18" s="52"/>
      <c r="AB18" s="75"/>
      <c r="AC18" s="56"/>
      <c r="AD18" s="75"/>
      <c r="AE18" s="75"/>
      <c r="AF18" s="73"/>
      <c r="AG18" s="76"/>
      <c r="AH18" s="76"/>
      <c r="AI18" s="77"/>
      <c r="AJ18" s="52"/>
      <c r="AK18" s="78"/>
      <c r="AL18" s="98"/>
      <c r="AM18" s="98"/>
      <c r="AN18" s="107"/>
      <c r="AO18" s="107"/>
      <c r="AP18" s="98"/>
      <c r="AQ18" s="103"/>
      <c r="AR18" s="103"/>
      <c r="AS18" s="103"/>
      <c r="AT18" s="103"/>
      <c r="AU18" s="103"/>
      <c r="AV18" s="103"/>
      <c r="AW18" s="101"/>
      <c r="AX18" s="101"/>
    </row>
    <row r="19" spans="3:50" s="83" customFormat="1" ht="21" customHeight="1">
      <c r="C19" s="75"/>
      <c r="D19" s="53"/>
      <c r="E19" s="52"/>
      <c r="F19" s="52"/>
      <c r="G19" s="52"/>
      <c r="H19" s="73"/>
      <c r="I19" s="57"/>
      <c r="J19" s="73"/>
      <c r="K19" s="73"/>
      <c r="L19" s="56"/>
      <c r="M19" s="56"/>
      <c r="N19" s="56"/>
      <c r="O19" s="56"/>
      <c r="P19" s="73"/>
      <c r="Q19" s="104"/>
      <c r="R19" s="73"/>
      <c r="S19" s="73"/>
      <c r="T19" s="73"/>
      <c r="U19" s="56"/>
      <c r="V19" s="56"/>
      <c r="W19" s="73"/>
      <c r="X19" s="52"/>
      <c r="Y19" s="52"/>
      <c r="Z19" s="56"/>
      <c r="AA19" s="52"/>
      <c r="AB19" s="75"/>
      <c r="AC19" s="56"/>
      <c r="AD19" s="75"/>
      <c r="AE19" s="75"/>
      <c r="AF19" s="73"/>
      <c r="AG19" s="76"/>
      <c r="AH19" s="76"/>
      <c r="AI19" s="77"/>
      <c r="AJ19" s="52"/>
      <c r="AK19" s="78"/>
      <c r="AL19" s="98"/>
      <c r="AM19" s="98"/>
      <c r="AN19" s="107"/>
      <c r="AO19" s="107"/>
      <c r="AP19" s="98"/>
      <c r="AQ19" s="103"/>
      <c r="AR19" s="103"/>
      <c r="AS19" s="103"/>
      <c r="AT19" s="103"/>
      <c r="AU19" s="103"/>
      <c r="AV19" s="103"/>
      <c r="AW19" s="101"/>
      <c r="AX19" s="101"/>
    </row>
    <row r="20" spans="3:50" s="83" customFormat="1" ht="21" customHeight="1">
      <c r="C20" s="75"/>
      <c r="D20" s="53"/>
      <c r="E20" s="52"/>
      <c r="F20" s="52"/>
      <c r="G20" s="52"/>
      <c r="H20" s="73"/>
      <c r="I20" s="57"/>
      <c r="J20" s="73"/>
      <c r="K20" s="73"/>
      <c r="L20" s="56"/>
      <c r="M20" s="56"/>
      <c r="N20" s="56"/>
      <c r="O20" s="56"/>
      <c r="P20" s="73"/>
      <c r="Q20" s="104"/>
      <c r="R20" s="73"/>
      <c r="S20" s="73"/>
      <c r="T20" s="73"/>
      <c r="U20" s="56"/>
      <c r="V20" s="56"/>
      <c r="W20" s="73"/>
      <c r="X20" s="52"/>
      <c r="Y20" s="52"/>
      <c r="Z20" s="56"/>
      <c r="AA20" s="52"/>
      <c r="AB20" s="75"/>
      <c r="AC20" s="56"/>
      <c r="AD20" s="75"/>
      <c r="AE20" s="75"/>
      <c r="AF20" s="73"/>
      <c r="AG20" s="76"/>
      <c r="AH20" s="76"/>
      <c r="AI20" s="77"/>
      <c r="AJ20" s="52"/>
      <c r="AK20" s="78"/>
      <c r="AL20" s="98"/>
      <c r="AM20" s="98"/>
      <c r="AN20" s="107"/>
      <c r="AO20" s="107"/>
      <c r="AP20" s="98"/>
      <c r="AQ20" s="103"/>
      <c r="AR20" s="103"/>
      <c r="AS20" s="103"/>
      <c r="AT20" s="103"/>
      <c r="AU20" s="103"/>
      <c r="AV20" s="103"/>
      <c r="AW20" s="101"/>
      <c r="AX20" s="101"/>
    </row>
    <row r="21" spans="3:50" s="83" customFormat="1" ht="21" customHeight="1">
      <c r="C21" s="75"/>
      <c r="D21" s="53"/>
      <c r="E21" s="52"/>
      <c r="F21" s="52"/>
      <c r="G21" s="52"/>
      <c r="H21" s="73"/>
      <c r="I21" s="57"/>
      <c r="J21" s="73"/>
      <c r="K21" s="73"/>
      <c r="L21" s="56"/>
      <c r="M21" s="56"/>
      <c r="N21" s="56"/>
      <c r="O21" s="56"/>
      <c r="P21" s="73"/>
      <c r="Q21" s="104"/>
      <c r="R21" s="73"/>
      <c r="S21" s="73"/>
      <c r="T21" s="73"/>
      <c r="U21" s="56"/>
      <c r="V21" s="56"/>
      <c r="W21" s="73"/>
      <c r="X21" s="52"/>
      <c r="Y21" s="52"/>
      <c r="Z21" s="56"/>
      <c r="AA21" s="52"/>
      <c r="AB21" s="75"/>
      <c r="AC21" s="56"/>
      <c r="AD21" s="75"/>
      <c r="AE21" s="75"/>
      <c r="AF21" s="73"/>
      <c r="AG21" s="76"/>
      <c r="AH21" s="76"/>
      <c r="AI21" s="77"/>
      <c r="AJ21" s="52"/>
      <c r="AK21" s="78"/>
      <c r="AL21" s="98"/>
      <c r="AM21" s="98"/>
      <c r="AN21" s="107"/>
      <c r="AO21" s="107"/>
      <c r="AP21" s="98"/>
      <c r="AQ21" s="103"/>
      <c r="AR21" s="103"/>
      <c r="AS21" s="103"/>
      <c r="AT21" s="103"/>
      <c r="AU21" s="103"/>
      <c r="AV21" s="103"/>
      <c r="AW21" s="101"/>
      <c r="AX21" s="101"/>
    </row>
    <row r="22" spans="3:50" s="83" customFormat="1" ht="21" customHeight="1">
      <c r="C22" s="75"/>
      <c r="D22" s="53"/>
      <c r="E22" s="52"/>
      <c r="F22" s="52"/>
      <c r="G22" s="52"/>
      <c r="H22" s="73"/>
      <c r="I22" s="57"/>
      <c r="J22" s="73"/>
      <c r="K22" s="73"/>
      <c r="L22" s="56"/>
      <c r="M22" s="56"/>
      <c r="N22" s="56"/>
      <c r="O22" s="56"/>
      <c r="P22" s="73"/>
      <c r="Q22" s="104"/>
      <c r="R22" s="73"/>
      <c r="S22" s="73"/>
      <c r="T22" s="73"/>
      <c r="U22" s="56"/>
      <c r="V22" s="56"/>
      <c r="W22" s="73"/>
      <c r="X22" s="52"/>
      <c r="Y22" s="52"/>
      <c r="Z22" s="56"/>
      <c r="AA22" s="52"/>
      <c r="AB22" s="75"/>
      <c r="AC22" s="56"/>
      <c r="AD22" s="75"/>
      <c r="AE22" s="75"/>
      <c r="AF22" s="73"/>
      <c r="AG22" s="76"/>
      <c r="AH22" s="76"/>
      <c r="AI22" s="77"/>
      <c r="AJ22" s="52"/>
      <c r="AK22" s="78"/>
      <c r="AL22" s="98"/>
      <c r="AM22" s="98"/>
      <c r="AN22" s="107"/>
      <c r="AO22" s="107"/>
      <c r="AP22" s="98"/>
      <c r="AQ22" s="103"/>
      <c r="AR22" s="103"/>
      <c r="AS22" s="103"/>
      <c r="AT22" s="103"/>
      <c r="AU22" s="103"/>
      <c r="AV22" s="103"/>
      <c r="AW22" s="101"/>
      <c r="AX22" s="101"/>
    </row>
    <row r="23" spans="3:50" s="83" customFormat="1" ht="21" customHeight="1">
      <c r="C23" s="75"/>
      <c r="D23" s="53"/>
      <c r="E23" s="52"/>
      <c r="F23" s="52"/>
      <c r="G23" s="52"/>
      <c r="H23" s="73"/>
      <c r="I23" s="57"/>
      <c r="J23" s="73"/>
      <c r="K23" s="73"/>
      <c r="L23" s="56"/>
      <c r="M23" s="56"/>
      <c r="N23" s="56"/>
      <c r="O23" s="56"/>
      <c r="P23" s="73"/>
      <c r="Q23" s="104"/>
      <c r="R23" s="73"/>
      <c r="S23" s="73"/>
      <c r="T23" s="73"/>
      <c r="U23" s="56"/>
      <c r="V23" s="56"/>
      <c r="W23" s="73"/>
      <c r="X23" s="52"/>
      <c r="Y23" s="52"/>
      <c r="Z23" s="56"/>
      <c r="AA23" s="52"/>
      <c r="AB23" s="75"/>
      <c r="AC23" s="56"/>
      <c r="AD23" s="75"/>
      <c r="AE23" s="75"/>
      <c r="AF23" s="73"/>
      <c r="AG23" s="76"/>
      <c r="AH23" s="76"/>
      <c r="AI23" s="77"/>
      <c r="AJ23" s="52"/>
      <c r="AK23" s="78"/>
      <c r="AL23" s="98"/>
      <c r="AM23" s="98"/>
      <c r="AN23" s="107"/>
      <c r="AO23" s="107"/>
      <c r="AP23" s="98"/>
      <c r="AQ23" s="103"/>
      <c r="AR23" s="103"/>
      <c r="AS23" s="103"/>
      <c r="AT23" s="103"/>
      <c r="AU23" s="103"/>
      <c r="AV23" s="103"/>
      <c r="AW23" s="101"/>
      <c r="AX23" s="101"/>
    </row>
    <row r="24" spans="3:50" s="83" customFormat="1" ht="21" customHeight="1">
      <c r="C24" s="75"/>
      <c r="D24" s="53"/>
      <c r="E24" s="52"/>
      <c r="F24" s="52"/>
      <c r="G24" s="52"/>
      <c r="H24" s="73"/>
      <c r="I24" s="57"/>
      <c r="J24" s="73"/>
      <c r="K24" s="73"/>
      <c r="L24" s="56"/>
      <c r="M24" s="56"/>
      <c r="N24" s="56"/>
      <c r="O24" s="56"/>
      <c r="P24" s="73"/>
      <c r="Q24" s="104"/>
      <c r="R24" s="73"/>
      <c r="S24" s="73"/>
      <c r="T24" s="73"/>
      <c r="U24" s="56"/>
      <c r="V24" s="56"/>
      <c r="W24" s="73"/>
      <c r="X24" s="52"/>
      <c r="Y24" s="52"/>
      <c r="Z24" s="56"/>
      <c r="AA24" s="52"/>
      <c r="AB24" s="75"/>
      <c r="AC24" s="56"/>
      <c r="AD24" s="75"/>
      <c r="AE24" s="75"/>
      <c r="AF24" s="73"/>
      <c r="AG24" s="76"/>
      <c r="AH24" s="76"/>
      <c r="AI24" s="77"/>
      <c r="AJ24" s="52"/>
      <c r="AK24" s="78"/>
      <c r="AL24" s="98"/>
      <c r="AM24" s="98"/>
      <c r="AN24" s="107"/>
      <c r="AO24" s="107"/>
      <c r="AP24" s="98"/>
      <c r="AQ24" s="103"/>
      <c r="AR24" s="103"/>
      <c r="AS24" s="103"/>
      <c r="AT24" s="103"/>
      <c r="AU24" s="103"/>
      <c r="AV24" s="103"/>
      <c r="AW24" s="101"/>
      <c r="AX24" s="101"/>
    </row>
    <row r="25" spans="3:50" s="83" customFormat="1" ht="21" customHeight="1">
      <c r="C25" s="75"/>
      <c r="D25" s="53"/>
      <c r="E25" s="52"/>
      <c r="F25" s="52"/>
      <c r="G25" s="52"/>
      <c r="H25" s="73"/>
      <c r="I25" s="57"/>
      <c r="J25" s="73"/>
      <c r="K25" s="73"/>
      <c r="L25" s="56"/>
      <c r="M25" s="56"/>
      <c r="N25" s="56"/>
      <c r="O25" s="56"/>
      <c r="P25" s="73"/>
      <c r="Q25" s="104"/>
      <c r="R25" s="73"/>
      <c r="S25" s="73"/>
      <c r="T25" s="73"/>
      <c r="U25" s="56"/>
      <c r="V25" s="56"/>
      <c r="W25" s="73"/>
      <c r="X25" s="52"/>
      <c r="Y25" s="52"/>
      <c r="Z25" s="56"/>
      <c r="AA25" s="52"/>
      <c r="AB25" s="75"/>
      <c r="AC25" s="56"/>
      <c r="AD25" s="75"/>
      <c r="AE25" s="75"/>
      <c r="AF25" s="73"/>
      <c r="AG25" s="76"/>
      <c r="AH25" s="76"/>
      <c r="AI25" s="77"/>
      <c r="AJ25" s="52"/>
      <c r="AK25" s="78"/>
      <c r="AL25" s="98"/>
      <c r="AM25" s="98"/>
      <c r="AN25" s="107"/>
      <c r="AO25" s="107"/>
      <c r="AP25" s="98"/>
      <c r="AQ25" s="103"/>
      <c r="AR25" s="103"/>
      <c r="AS25" s="103"/>
      <c r="AT25" s="103"/>
      <c r="AU25" s="103"/>
      <c r="AV25" s="103"/>
      <c r="AW25" s="101"/>
      <c r="AX25" s="101"/>
    </row>
    <row r="26" spans="3:50" s="83" customFormat="1" ht="21" customHeight="1">
      <c r="C26" s="75"/>
      <c r="D26" s="53"/>
      <c r="E26" s="52"/>
      <c r="F26" s="52"/>
      <c r="G26" s="52"/>
      <c r="H26" s="73"/>
      <c r="I26" s="57"/>
      <c r="J26" s="73"/>
      <c r="K26" s="73"/>
      <c r="L26" s="56"/>
      <c r="M26" s="56"/>
      <c r="N26" s="56"/>
      <c r="O26" s="56"/>
      <c r="P26" s="73"/>
      <c r="Q26" s="104"/>
      <c r="R26" s="73"/>
      <c r="S26" s="73"/>
      <c r="T26" s="73"/>
      <c r="U26" s="56"/>
      <c r="V26" s="56"/>
      <c r="W26" s="73"/>
      <c r="X26" s="52"/>
      <c r="Y26" s="52"/>
      <c r="Z26" s="56"/>
      <c r="AA26" s="52"/>
      <c r="AB26" s="75"/>
      <c r="AC26" s="56"/>
      <c r="AD26" s="75"/>
      <c r="AE26" s="75"/>
      <c r="AF26" s="73"/>
      <c r="AG26" s="76"/>
      <c r="AH26" s="76"/>
      <c r="AI26" s="77"/>
      <c r="AJ26" s="52"/>
      <c r="AK26" s="78"/>
      <c r="AL26" s="98"/>
      <c r="AM26" s="98"/>
      <c r="AN26" s="107"/>
      <c r="AO26" s="107"/>
      <c r="AP26" s="98"/>
      <c r="AQ26" s="103"/>
      <c r="AR26" s="103"/>
      <c r="AS26" s="103"/>
      <c r="AT26" s="103"/>
      <c r="AU26" s="103"/>
      <c r="AV26" s="103"/>
      <c r="AW26" s="101"/>
      <c r="AX26" s="101"/>
    </row>
    <row r="27" spans="3:50" s="83" customFormat="1" ht="21" customHeight="1">
      <c r="C27" s="75"/>
      <c r="D27" s="53"/>
      <c r="E27" s="52"/>
      <c r="F27" s="52"/>
      <c r="G27" s="52"/>
      <c r="H27" s="73"/>
      <c r="I27" s="57"/>
      <c r="J27" s="73"/>
      <c r="K27" s="73"/>
      <c r="L27" s="56"/>
      <c r="M27" s="56"/>
      <c r="N27" s="56"/>
      <c r="O27" s="56"/>
      <c r="P27" s="73"/>
      <c r="Q27" s="104"/>
      <c r="R27" s="73"/>
      <c r="S27" s="73"/>
      <c r="T27" s="73"/>
      <c r="U27" s="56"/>
      <c r="V27" s="56"/>
      <c r="W27" s="73"/>
      <c r="X27" s="52"/>
      <c r="Y27" s="52"/>
      <c r="Z27" s="56"/>
      <c r="AA27" s="52"/>
      <c r="AB27" s="75"/>
      <c r="AC27" s="56"/>
      <c r="AD27" s="75"/>
      <c r="AE27" s="75"/>
      <c r="AF27" s="73"/>
      <c r="AG27" s="76"/>
      <c r="AH27" s="76"/>
      <c r="AI27" s="77"/>
      <c r="AJ27" s="52"/>
      <c r="AK27" s="78"/>
      <c r="AL27" s="98"/>
      <c r="AM27" s="98"/>
      <c r="AN27" s="107"/>
      <c r="AO27" s="107"/>
      <c r="AP27" s="98"/>
      <c r="AQ27" s="103"/>
      <c r="AR27" s="103"/>
      <c r="AS27" s="103"/>
      <c r="AT27" s="103"/>
      <c r="AU27" s="103"/>
      <c r="AV27" s="103"/>
      <c r="AW27" s="101"/>
      <c r="AX27" s="101"/>
    </row>
    <row r="28" spans="3:50" s="83" customFormat="1" ht="21" customHeight="1">
      <c r="C28" s="75"/>
      <c r="D28" s="53"/>
      <c r="E28" s="52"/>
      <c r="F28" s="52"/>
      <c r="G28" s="52"/>
      <c r="H28" s="73"/>
      <c r="I28" s="57"/>
      <c r="J28" s="73"/>
      <c r="K28" s="73"/>
      <c r="L28" s="56"/>
      <c r="M28" s="56"/>
      <c r="N28" s="56"/>
      <c r="O28" s="56"/>
      <c r="P28" s="73"/>
      <c r="Q28" s="104"/>
      <c r="R28" s="73"/>
      <c r="S28" s="73"/>
      <c r="T28" s="73"/>
      <c r="U28" s="56"/>
      <c r="V28" s="56"/>
      <c r="W28" s="73"/>
      <c r="X28" s="52"/>
      <c r="Y28" s="52"/>
      <c r="Z28" s="56"/>
      <c r="AA28" s="52"/>
      <c r="AB28" s="75"/>
      <c r="AC28" s="56"/>
      <c r="AD28" s="75"/>
      <c r="AE28" s="75"/>
      <c r="AF28" s="73"/>
      <c r="AG28" s="76"/>
      <c r="AH28" s="76"/>
      <c r="AI28" s="77"/>
      <c r="AJ28" s="52"/>
      <c r="AK28" s="78"/>
      <c r="AL28" s="98"/>
      <c r="AM28" s="98"/>
      <c r="AN28" s="107"/>
      <c r="AO28" s="107"/>
      <c r="AP28" s="98"/>
      <c r="AQ28" s="103"/>
      <c r="AR28" s="103"/>
      <c r="AS28" s="103"/>
      <c r="AT28" s="103"/>
      <c r="AU28" s="103"/>
      <c r="AV28" s="103"/>
      <c r="AW28" s="101"/>
      <c r="AX28" s="101"/>
    </row>
    <row r="29" spans="3:50" s="83" customFormat="1" ht="21" customHeight="1">
      <c r="C29" s="75"/>
      <c r="D29" s="53"/>
      <c r="E29" s="52"/>
      <c r="F29" s="52"/>
      <c r="G29" s="52"/>
      <c r="H29" s="73"/>
      <c r="I29" s="57"/>
      <c r="J29" s="73"/>
      <c r="K29" s="73"/>
      <c r="L29" s="56"/>
      <c r="M29" s="56"/>
      <c r="N29" s="56"/>
      <c r="O29" s="56"/>
      <c r="P29" s="73"/>
      <c r="Q29" s="104"/>
      <c r="R29" s="73"/>
      <c r="S29" s="73"/>
      <c r="T29" s="73"/>
      <c r="U29" s="56"/>
      <c r="V29" s="56"/>
      <c r="W29" s="73"/>
      <c r="X29" s="52"/>
      <c r="Y29" s="52"/>
      <c r="Z29" s="56"/>
      <c r="AA29" s="52"/>
      <c r="AB29" s="75"/>
      <c r="AC29" s="56"/>
      <c r="AD29" s="75"/>
      <c r="AE29" s="75"/>
      <c r="AF29" s="73"/>
      <c r="AG29" s="76"/>
      <c r="AH29" s="76"/>
      <c r="AI29" s="77"/>
      <c r="AJ29" s="52"/>
      <c r="AK29" s="78"/>
      <c r="AL29" s="98"/>
      <c r="AM29" s="98"/>
      <c r="AN29" s="107"/>
      <c r="AO29" s="107"/>
      <c r="AP29" s="98"/>
      <c r="AQ29" s="103"/>
      <c r="AR29" s="103"/>
      <c r="AS29" s="103"/>
      <c r="AT29" s="103"/>
      <c r="AU29" s="103"/>
      <c r="AV29" s="103"/>
      <c r="AW29" s="101"/>
      <c r="AX29" s="101"/>
    </row>
    <row r="30" spans="3:50" s="83" customFormat="1" ht="21" customHeight="1">
      <c r="C30" s="75"/>
      <c r="D30" s="53"/>
      <c r="E30" s="52"/>
      <c r="F30" s="52"/>
      <c r="G30" s="52"/>
      <c r="H30" s="73"/>
      <c r="I30" s="57"/>
      <c r="J30" s="73"/>
      <c r="K30" s="73"/>
      <c r="L30" s="56"/>
      <c r="M30" s="56"/>
      <c r="N30" s="56"/>
      <c r="O30" s="56"/>
      <c r="P30" s="73"/>
      <c r="Q30" s="104"/>
      <c r="R30" s="73"/>
      <c r="S30" s="73"/>
      <c r="T30" s="73"/>
      <c r="U30" s="56"/>
      <c r="V30" s="56"/>
      <c r="W30" s="73"/>
      <c r="X30" s="52"/>
      <c r="Y30" s="52"/>
      <c r="Z30" s="56"/>
      <c r="AA30" s="52"/>
      <c r="AB30" s="75"/>
      <c r="AC30" s="56"/>
      <c r="AD30" s="75"/>
      <c r="AE30" s="75"/>
      <c r="AF30" s="73"/>
      <c r="AG30" s="76"/>
      <c r="AH30" s="76"/>
      <c r="AI30" s="77"/>
      <c r="AJ30" s="52"/>
      <c r="AK30" s="78"/>
      <c r="AL30" s="98"/>
      <c r="AM30" s="98"/>
      <c r="AN30" s="107"/>
      <c r="AO30" s="107"/>
      <c r="AP30" s="98"/>
      <c r="AQ30" s="103"/>
      <c r="AR30" s="103"/>
      <c r="AS30" s="103"/>
      <c r="AT30" s="103"/>
      <c r="AU30" s="103"/>
      <c r="AV30" s="103"/>
      <c r="AW30" s="101"/>
      <c r="AX30" s="101"/>
    </row>
    <row r="31" spans="3:50" s="83" customFormat="1" ht="21" customHeight="1">
      <c r="C31" s="75"/>
      <c r="D31" s="53"/>
      <c r="E31" s="52"/>
      <c r="F31" s="52"/>
      <c r="G31" s="52"/>
      <c r="H31" s="73"/>
      <c r="I31" s="57"/>
      <c r="J31" s="73"/>
      <c r="K31" s="73"/>
      <c r="L31" s="56"/>
      <c r="M31" s="56"/>
      <c r="N31" s="56"/>
      <c r="O31" s="56"/>
      <c r="P31" s="73"/>
      <c r="Q31" s="104"/>
      <c r="R31" s="73"/>
      <c r="S31" s="73"/>
      <c r="T31" s="73"/>
      <c r="U31" s="56"/>
      <c r="V31" s="56"/>
      <c r="W31" s="73"/>
      <c r="X31" s="52"/>
      <c r="Y31" s="52"/>
      <c r="Z31" s="56"/>
      <c r="AA31" s="52"/>
      <c r="AB31" s="75"/>
      <c r="AC31" s="56"/>
      <c r="AD31" s="75"/>
      <c r="AE31" s="75"/>
      <c r="AF31" s="73"/>
      <c r="AG31" s="76"/>
      <c r="AH31" s="76"/>
      <c r="AI31" s="77"/>
      <c r="AJ31" s="52"/>
      <c r="AK31" s="78"/>
      <c r="AL31" s="98"/>
      <c r="AM31" s="98"/>
      <c r="AN31" s="107"/>
      <c r="AO31" s="107"/>
      <c r="AP31" s="98"/>
      <c r="AQ31" s="103"/>
      <c r="AR31" s="103"/>
      <c r="AS31" s="103"/>
      <c r="AT31" s="103"/>
      <c r="AU31" s="103"/>
      <c r="AV31" s="103"/>
      <c r="AW31" s="101"/>
      <c r="AX31" s="101"/>
    </row>
    <row r="32" spans="3:50" s="83" customFormat="1" ht="21" customHeight="1">
      <c r="C32" s="75"/>
      <c r="D32" s="53"/>
      <c r="E32" s="52"/>
      <c r="F32" s="52"/>
      <c r="G32" s="52"/>
      <c r="H32" s="73"/>
      <c r="I32" s="57"/>
      <c r="J32" s="73"/>
      <c r="K32" s="73"/>
      <c r="L32" s="56"/>
      <c r="M32" s="56"/>
      <c r="N32" s="56"/>
      <c r="O32" s="56"/>
      <c r="P32" s="73"/>
      <c r="Q32" s="104"/>
      <c r="R32" s="73"/>
      <c r="S32" s="73"/>
      <c r="T32" s="73"/>
      <c r="U32" s="56"/>
      <c r="V32" s="56"/>
      <c r="W32" s="73"/>
      <c r="X32" s="52"/>
      <c r="Y32" s="52"/>
      <c r="Z32" s="56"/>
      <c r="AA32" s="52"/>
      <c r="AB32" s="75"/>
      <c r="AC32" s="56"/>
      <c r="AD32" s="75"/>
      <c r="AE32" s="75"/>
      <c r="AF32" s="73"/>
      <c r="AG32" s="76"/>
      <c r="AH32" s="76"/>
      <c r="AI32" s="77"/>
      <c r="AJ32" s="52"/>
      <c r="AK32" s="78"/>
      <c r="AL32" s="98"/>
      <c r="AM32" s="98"/>
      <c r="AN32" s="107"/>
      <c r="AO32" s="107"/>
      <c r="AP32" s="98"/>
      <c r="AQ32" s="103"/>
      <c r="AR32" s="103"/>
      <c r="AS32" s="103"/>
      <c r="AT32" s="103"/>
      <c r="AU32" s="103"/>
      <c r="AV32" s="103"/>
      <c r="AW32" s="101"/>
      <c r="AX32" s="101"/>
    </row>
    <row r="33" spans="3:50" s="83" customFormat="1" ht="21" customHeight="1">
      <c r="C33" s="75"/>
      <c r="D33" s="53"/>
      <c r="E33" s="52"/>
      <c r="F33" s="52"/>
      <c r="G33" s="52"/>
      <c r="H33" s="73"/>
      <c r="I33" s="57"/>
      <c r="J33" s="73"/>
      <c r="K33" s="73"/>
      <c r="L33" s="56"/>
      <c r="M33" s="56"/>
      <c r="N33" s="56"/>
      <c r="O33" s="56"/>
      <c r="P33" s="73"/>
      <c r="Q33" s="104"/>
      <c r="R33" s="73"/>
      <c r="S33" s="73"/>
      <c r="T33" s="73"/>
      <c r="U33" s="56"/>
      <c r="V33" s="56"/>
      <c r="W33" s="73"/>
      <c r="X33" s="52"/>
      <c r="Y33" s="52"/>
      <c r="Z33" s="56"/>
      <c r="AA33" s="52"/>
      <c r="AB33" s="75"/>
      <c r="AC33" s="56"/>
      <c r="AD33" s="75"/>
      <c r="AE33" s="75"/>
      <c r="AF33" s="73"/>
      <c r="AG33" s="76"/>
      <c r="AH33" s="76"/>
      <c r="AI33" s="77"/>
      <c r="AJ33" s="52"/>
      <c r="AK33" s="78"/>
      <c r="AL33" s="98"/>
      <c r="AM33" s="98"/>
      <c r="AN33" s="107"/>
      <c r="AO33" s="107"/>
      <c r="AP33" s="98"/>
      <c r="AQ33" s="103"/>
      <c r="AR33" s="103"/>
      <c r="AS33" s="103"/>
      <c r="AT33" s="103"/>
      <c r="AU33" s="103"/>
      <c r="AV33" s="103"/>
      <c r="AW33" s="101"/>
      <c r="AX33" s="101"/>
    </row>
    <row r="34" spans="3:50" s="83" customFormat="1" ht="21" customHeight="1">
      <c r="C34" s="75"/>
      <c r="D34" s="53"/>
      <c r="E34" s="52"/>
      <c r="F34" s="52"/>
      <c r="G34" s="52"/>
      <c r="H34" s="73"/>
      <c r="I34" s="57"/>
      <c r="J34" s="73"/>
      <c r="K34" s="73"/>
      <c r="L34" s="56"/>
      <c r="M34" s="56"/>
      <c r="N34" s="56"/>
      <c r="O34" s="56"/>
      <c r="P34" s="73"/>
      <c r="Q34" s="104"/>
      <c r="R34" s="73"/>
      <c r="S34" s="73"/>
      <c r="T34" s="73"/>
      <c r="U34" s="56"/>
      <c r="V34" s="56"/>
      <c r="W34" s="73"/>
      <c r="X34" s="52"/>
      <c r="Y34" s="52"/>
      <c r="Z34" s="56"/>
      <c r="AA34" s="52"/>
      <c r="AB34" s="75"/>
      <c r="AC34" s="56"/>
      <c r="AD34" s="75"/>
      <c r="AE34" s="75"/>
      <c r="AF34" s="73"/>
      <c r="AG34" s="76"/>
      <c r="AH34" s="76"/>
      <c r="AI34" s="77"/>
      <c r="AJ34" s="52"/>
      <c r="AK34" s="78"/>
      <c r="AL34" s="98"/>
      <c r="AM34" s="98"/>
      <c r="AN34" s="107"/>
      <c r="AO34" s="107"/>
      <c r="AP34" s="98"/>
      <c r="AQ34" s="103"/>
      <c r="AR34" s="103"/>
      <c r="AS34" s="103"/>
      <c r="AT34" s="103"/>
      <c r="AU34" s="103"/>
      <c r="AV34" s="103"/>
      <c r="AW34" s="101"/>
      <c r="AX34" s="101"/>
    </row>
    <row r="35" spans="3:50" s="83" customFormat="1" ht="21" customHeight="1">
      <c r="C35" s="75"/>
      <c r="D35" s="53"/>
      <c r="E35" s="52"/>
      <c r="F35" s="52"/>
      <c r="G35" s="52"/>
      <c r="H35" s="73"/>
      <c r="I35" s="57"/>
      <c r="J35" s="73"/>
      <c r="K35" s="73"/>
      <c r="L35" s="56"/>
      <c r="M35" s="56"/>
      <c r="N35" s="56"/>
      <c r="O35" s="56"/>
      <c r="P35" s="73"/>
      <c r="Q35" s="104"/>
      <c r="R35" s="73"/>
      <c r="S35" s="73"/>
      <c r="T35" s="73"/>
      <c r="U35" s="56"/>
      <c r="V35" s="56"/>
      <c r="W35" s="73"/>
      <c r="X35" s="52"/>
      <c r="Y35" s="52"/>
      <c r="Z35" s="56"/>
      <c r="AA35" s="52"/>
      <c r="AB35" s="75"/>
      <c r="AC35" s="56"/>
      <c r="AD35" s="75"/>
      <c r="AE35" s="75"/>
      <c r="AF35" s="73"/>
      <c r="AG35" s="76"/>
      <c r="AH35" s="76"/>
      <c r="AI35" s="77"/>
      <c r="AJ35" s="52"/>
      <c r="AK35" s="78"/>
      <c r="AL35" s="98"/>
      <c r="AM35" s="98"/>
      <c r="AN35" s="107"/>
      <c r="AO35" s="107"/>
      <c r="AP35" s="98"/>
      <c r="AQ35" s="103"/>
      <c r="AR35" s="103"/>
      <c r="AS35" s="103"/>
      <c r="AT35" s="103"/>
      <c r="AU35" s="103"/>
      <c r="AV35" s="103"/>
      <c r="AW35" s="101"/>
      <c r="AX35" s="101"/>
    </row>
    <row r="36" spans="3:50" s="83" customFormat="1" ht="21" customHeight="1">
      <c r="C36" s="75"/>
      <c r="D36" s="53"/>
      <c r="E36" s="52"/>
      <c r="F36" s="52"/>
      <c r="G36" s="52"/>
      <c r="H36" s="73"/>
      <c r="I36" s="57"/>
      <c r="J36" s="73"/>
      <c r="K36" s="73"/>
      <c r="L36" s="56"/>
      <c r="M36" s="56"/>
      <c r="N36" s="56"/>
      <c r="O36" s="56"/>
      <c r="P36" s="73"/>
      <c r="Q36" s="104"/>
      <c r="R36" s="73"/>
      <c r="S36" s="73"/>
      <c r="T36" s="73"/>
      <c r="U36" s="56"/>
      <c r="V36" s="56"/>
      <c r="W36" s="73"/>
      <c r="X36" s="52"/>
      <c r="Y36" s="52"/>
      <c r="Z36" s="56"/>
      <c r="AA36" s="52"/>
      <c r="AB36" s="75"/>
      <c r="AC36" s="56"/>
      <c r="AD36" s="75"/>
      <c r="AE36" s="75"/>
      <c r="AF36" s="73"/>
      <c r="AG36" s="76"/>
      <c r="AH36" s="76"/>
      <c r="AI36" s="77"/>
      <c r="AJ36" s="52"/>
      <c r="AK36" s="78"/>
      <c r="AL36" s="98"/>
      <c r="AM36" s="98"/>
      <c r="AN36" s="107"/>
      <c r="AO36" s="107"/>
      <c r="AP36" s="98"/>
      <c r="AQ36" s="103"/>
      <c r="AR36" s="103"/>
      <c r="AS36" s="103"/>
      <c r="AT36" s="103"/>
      <c r="AU36" s="103"/>
      <c r="AV36" s="103"/>
      <c r="AW36" s="101"/>
      <c r="AX36" s="101"/>
    </row>
    <row r="37" spans="3:50" s="83" customFormat="1" ht="21" customHeight="1">
      <c r="C37" s="75"/>
      <c r="D37" s="53"/>
      <c r="E37" s="52"/>
      <c r="F37" s="52"/>
      <c r="G37" s="52"/>
      <c r="H37" s="73"/>
      <c r="I37" s="57"/>
      <c r="J37" s="73"/>
      <c r="K37" s="73"/>
      <c r="L37" s="56"/>
      <c r="M37" s="56"/>
      <c r="N37" s="56"/>
      <c r="O37" s="56"/>
      <c r="P37" s="73"/>
      <c r="Q37" s="104"/>
      <c r="R37" s="73"/>
      <c r="S37" s="73"/>
      <c r="T37" s="73"/>
      <c r="U37" s="56"/>
      <c r="V37" s="56"/>
      <c r="W37" s="73"/>
      <c r="X37" s="52"/>
      <c r="Y37" s="52"/>
      <c r="Z37" s="56"/>
      <c r="AA37" s="52"/>
      <c r="AB37" s="75"/>
      <c r="AC37" s="56"/>
      <c r="AD37" s="75"/>
      <c r="AE37" s="75"/>
      <c r="AF37" s="73"/>
      <c r="AG37" s="76"/>
      <c r="AH37" s="76"/>
      <c r="AI37" s="77"/>
      <c r="AJ37" s="52"/>
      <c r="AK37" s="78"/>
      <c r="AL37" s="98"/>
      <c r="AM37" s="98"/>
      <c r="AN37" s="107"/>
      <c r="AO37" s="107"/>
      <c r="AP37" s="98"/>
      <c r="AQ37" s="103"/>
      <c r="AR37" s="103"/>
      <c r="AS37" s="103"/>
      <c r="AT37" s="103"/>
      <c r="AU37" s="103"/>
      <c r="AV37" s="103"/>
      <c r="AW37" s="101"/>
      <c r="AX37" s="101"/>
    </row>
    <row r="38" spans="3:50" s="83" customFormat="1" ht="21" customHeight="1">
      <c r="C38" s="75"/>
      <c r="D38" s="53"/>
      <c r="E38" s="52"/>
      <c r="F38" s="52"/>
      <c r="G38" s="52"/>
      <c r="H38" s="73"/>
      <c r="I38" s="57"/>
      <c r="J38" s="73"/>
      <c r="K38" s="73"/>
      <c r="L38" s="56"/>
      <c r="M38" s="56"/>
      <c r="N38" s="56"/>
      <c r="O38" s="56"/>
      <c r="P38" s="73"/>
      <c r="Q38" s="104"/>
      <c r="R38" s="73"/>
      <c r="S38" s="73"/>
      <c r="T38" s="73"/>
      <c r="U38" s="56"/>
      <c r="V38" s="56"/>
      <c r="W38" s="73"/>
      <c r="X38" s="52"/>
      <c r="Y38" s="52"/>
      <c r="Z38" s="56"/>
      <c r="AA38" s="52"/>
      <c r="AB38" s="75"/>
      <c r="AC38" s="56"/>
      <c r="AD38" s="75"/>
      <c r="AE38" s="75"/>
      <c r="AF38" s="73"/>
      <c r="AG38" s="76"/>
      <c r="AH38" s="76"/>
      <c r="AI38" s="77"/>
      <c r="AJ38" s="52"/>
      <c r="AK38" s="78"/>
      <c r="AL38" s="98"/>
      <c r="AM38" s="98"/>
      <c r="AN38" s="107"/>
      <c r="AO38" s="107"/>
      <c r="AP38" s="98"/>
      <c r="AQ38" s="103"/>
      <c r="AR38" s="103"/>
      <c r="AS38" s="103"/>
      <c r="AT38" s="103"/>
      <c r="AU38" s="103"/>
      <c r="AV38" s="103"/>
      <c r="AW38" s="101"/>
      <c r="AX38" s="101"/>
    </row>
    <row r="39" spans="3:50" s="83" customFormat="1" ht="21" customHeight="1">
      <c r="C39" s="75"/>
      <c r="D39" s="53"/>
      <c r="E39" s="52"/>
      <c r="F39" s="52"/>
      <c r="G39" s="52"/>
      <c r="H39" s="73"/>
      <c r="I39" s="57"/>
      <c r="J39" s="73"/>
      <c r="K39" s="73"/>
      <c r="L39" s="56"/>
      <c r="M39" s="56"/>
      <c r="N39" s="56"/>
      <c r="O39" s="56"/>
      <c r="P39" s="73"/>
      <c r="Q39" s="104"/>
      <c r="R39" s="73"/>
      <c r="S39" s="73"/>
      <c r="T39" s="73"/>
      <c r="U39" s="56"/>
      <c r="V39" s="56"/>
      <c r="W39" s="73"/>
      <c r="X39" s="52"/>
      <c r="Y39" s="52"/>
      <c r="Z39" s="56"/>
      <c r="AA39" s="52"/>
      <c r="AB39" s="75"/>
      <c r="AC39" s="56"/>
      <c r="AD39" s="75"/>
      <c r="AE39" s="75"/>
      <c r="AF39" s="73"/>
      <c r="AG39" s="76"/>
      <c r="AH39" s="76"/>
      <c r="AI39" s="77"/>
      <c r="AJ39" s="52"/>
      <c r="AK39" s="78"/>
      <c r="AL39" s="98"/>
      <c r="AM39" s="98"/>
      <c r="AN39" s="107"/>
      <c r="AO39" s="107"/>
      <c r="AP39" s="98"/>
      <c r="AQ39" s="103"/>
      <c r="AR39" s="103"/>
      <c r="AS39" s="103"/>
      <c r="AT39" s="103"/>
      <c r="AU39" s="103"/>
      <c r="AV39" s="103"/>
      <c r="AW39" s="101"/>
      <c r="AX39" s="101"/>
    </row>
    <row r="40" spans="3:50" s="83" customFormat="1" ht="21" customHeight="1">
      <c r="C40" s="75"/>
      <c r="D40" s="53"/>
      <c r="E40" s="52"/>
      <c r="F40" s="52"/>
      <c r="G40" s="52"/>
      <c r="H40" s="73"/>
      <c r="I40" s="57"/>
      <c r="J40" s="73"/>
      <c r="K40" s="73"/>
      <c r="L40" s="56"/>
      <c r="M40" s="56"/>
      <c r="N40" s="56"/>
      <c r="O40" s="56"/>
      <c r="P40" s="73"/>
      <c r="Q40" s="104"/>
      <c r="R40" s="73"/>
      <c r="S40" s="73"/>
      <c r="T40" s="73"/>
      <c r="U40" s="56"/>
      <c r="V40" s="56"/>
      <c r="W40" s="73"/>
      <c r="X40" s="52"/>
      <c r="Y40" s="52"/>
      <c r="Z40" s="56"/>
      <c r="AA40" s="52"/>
      <c r="AB40" s="75"/>
      <c r="AC40" s="56"/>
      <c r="AD40" s="75"/>
      <c r="AE40" s="75"/>
      <c r="AF40" s="73"/>
      <c r="AG40" s="76"/>
      <c r="AH40" s="76"/>
      <c r="AI40" s="77"/>
      <c r="AJ40" s="52"/>
      <c r="AK40" s="78"/>
      <c r="AL40" s="98"/>
      <c r="AM40" s="98"/>
      <c r="AN40" s="107"/>
      <c r="AO40" s="107"/>
      <c r="AP40" s="98"/>
      <c r="AQ40" s="103"/>
      <c r="AR40" s="103"/>
      <c r="AS40" s="103"/>
      <c r="AT40" s="103"/>
      <c r="AU40" s="103"/>
      <c r="AV40" s="103"/>
      <c r="AW40" s="101"/>
      <c r="AX40" s="101"/>
    </row>
    <row r="41" spans="3:50" s="83" customFormat="1" ht="21" customHeight="1">
      <c r="C41" s="75"/>
      <c r="D41" s="53"/>
      <c r="E41" s="52"/>
      <c r="F41" s="52"/>
      <c r="G41" s="52"/>
      <c r="H41" s="73"/>
      <c r="I41" s="57"/>
      <c r="J41" s="73"/>
      <c r="K41" s="73"/>
      <c r="L41" s="56"/>
      <c r="M41" s="56"/>
      <c r="N41" s="56"/>
      <c r="O41" s="56"/>
      <c r="P41" s="73"/>
      <c r="Q41" s="104"/>
      <c r="R41" s="73"/>
      <c r="S41" s="73"/>
      <c r="T41" s="73"/>
      <c r="U41" s="56"/>
      <c r="V41" s="56"/>
      <c r="W41" s="73"/>
      <c r="X41" s="52"/>
      <c r="Y41" s="52"/>
      <c r="Z41" s="56"/>
      <c r="AA41" s="52"/>
      <c r="AB41" s="75"/>
      <c r="AC41" s="56"/>
      <c r="AD41" s="75"/>
      <c r="AE41" s="75"/>
      <c r="AF41" s="73"/>
      <c r="AG41" s="76"/>
      <c r="AH41" s="76"/>
      <c r="AI41" s="77"/>
      <c r="AJ41" s="52"/>
      <c r="AK41" s="78"/>
      <c r="AL41" s="98"/>
      <c r="AM41" s="98"/>
      <c r="AN41" s="107"/>
      <c r="AO41" s="107"/>
      <c r="AP41" s="98"/>
      <c r="AQ41" s="103"/>
      <c r="AR41" s="103"/>
      <c r="AS41" s="103"/>
      <c r="AT41" s="103"/>
      <c r="AU41" s="103"/>
      <c r="AV41" s="103"/>
      <c r="AW41" s="101"/>
      <c r="AX41" s="101"/>
    </row>
    <row r="42" spans="3:50" s="83" customFormat="1" ht="21" customHeight="1">
      <c r="C42" s="75"/>
      <c r="D42" s="53"/>
      <c r="E42" s="52"/>
      <c r="F42" s="52"/>
      <c r="G42" s="52"/>
      <c r="H42" s="73"/>
      <c r="I42" s="57"/>
      <c r="J42" s="73"/>
      <c r="K42" s="73"/>
      <c r="L42" s="56"/>
      <c r="M42" s="56"/>
      <c r="N42" s="56"/>
      <c r="O42" s="56"/>
      <c r="P42" s="73"/>
      <c r="Q42" s="104"/>
      <c r="R42" s="73"/>
      <c r="S42" s="73"/>
      <c r="T42" s="73"/>
      <c r="U42" s="56"/>
      <c r="V42" s="56"/>
      <c r="W42" s="73"/>
      <c r="X42" s="52"/>
      <c r="Y42" s="52"/>
      <c r="Z42" s="56"/>
      <c r="AA42" s="52"/>
      <c r="AB42" s="75"/>
      <c r="AC42" s="56"/>
      <c r="AD42" s="75"/>
      <c r="AE42" s="75"/>
      <c r="AF42" s="73"/>
      <c r="AG42" s="76"/>
      <c r="AH42" s="76"/>
      <c r="AI42" s="77"/>
      <c r="AJ42" s="52"/>
      <c r="AK42" s="78"/>
      <c r="AL42" s="98"/>
      <c r="AM42" s="98"/>
      <c r="AN42" s="107"/>
      <c r="AO42" s="107"/>
      <c r="AP42" s="98"/>
      <c r="AQ42" s="103"/>
      <c r="AR42" s="103"/>
      <c r="AS42" s="103"/>
      <c r="AT42" s="103"/>
      <c r="AU42" s="103"/>
      <c r="AV42" s="103"/>
      <c r="AW42" s="101"/>
      <c r="AX42" s="101"/>
    </row>
    <row r="43" spans="3:50" s="83" customFormat="1" ht="21" customHeight="1">
      <c r="C43" s="75"/>
      <c r="D43" s="53"/>
      <c r="E43" s="52"/>
      <c r="F43" s="52"/>
      <c r="G43" s="52"/>
      <c r="H43" s="73"/>
      <c r="I43" s="57"/>
      <c r="J43" s="73"/>
      <c r="K43" s="73"/>
      <c r="L43" s="56"/>
      <c r="M43" s="56"/>
      <c r="N43" s="56"/>
      <c r="O43" s="56"/>
      <c r="P43" s="73"/>
      <c r="Q43" s="104"/>
      <c r="R43" s="73"/>
      <c r="S43" s="73"/>
      <c r="T43" s="73"/>
      <c r="U43" s="56"/>
      <c r="V43" s="56"/>
      <c r="W43" s="73"/>
      <c r="X43" s="52"/>
      <c r="Y43" s="52"/>
      <c r="Z43" s="56"/>
      <c r="AA43" s="52"/>
      <c r="AB43" s="75"/>
      <c r="AC43" s="56"/>
      <c r="AD43" s="75"/>
      <c r="AE43" s="75"/>
      <c r="AF43" s="73"/>
      <c r="AG43" s="76"/>
      <c r="AH43" s="76"/>
      <c r="AI43" s="77"/>
      <c r="AJ43" s="52"/>
      <c r="AK43" s="78"/>
      <c r="AL43" s="98"/>
      <c r="AM43" s="98"/>
      <c r="AN43" s="107"/>
      <c r="AO43" s="107"/>
      <c r="AP43" s="98"/>
      <c r="AQ43" s="103"/>
      <c r="AR43" s="103"/>
      <c r="AS43" s="103"/>
      <c r="AT43" s="103"/>
      <c r="AU43" s="103"/>
      <c r="AV43" s="103"/>
      <c r="AW43" s="101"/>
      <c r="AX43" s="101"/>
    </row>
    <row r="44" spans="3:50" s="83" customFormat="1" ht="21" customHeight="1">
      <c r="C44" s="75"/>
      <c r="D44" s="53"/>
      <c r="E44" s="52"/>
      <c r="F44" s="52"/>
      <c r="G44" s="52"/>
      <c r="H44" s="73"/>
      <c r="I44" s="57"/>
      <c r="J44" s="73"/>
      <c r="K44" s="73"/>
      <c r="L44" s="56"/>
      <c r="M44" s="56"/>
      <c r="N44" s="56"/>
      <c r="O44" s="56"/>
      <c r="P44" s="73"/>
      <c r="Q44" s="104"/>
      <c r="R44" s="73"/>
      <c r="S44" s="73"/>
      <c r="T44" s="73"/>
      <c r="U44" s="56"/>
      <c r="V44" s="56"/>
      <c r="W44" s="73"/>
      <c r="X44" s="52"/>
      <c r="Y44" s="52"/>
      <c r="Z44" s="56"/>
      <c r="AA44" s="52"/>
      <c r="AB44" s="75"/>
      <c r="AC44" s="56"/>
      <c r="AD44" s="75"/>
      <c r="AE44" s="75"/>
      <c r="AF44" s="73"/>
      <c r="AG44" s="76"/>
      <c r="AH44" s="76"/>
      <c r="AI44" s="77"/>
      <c r="AJ44" s="52"/>
      <c r="AK44" s="78"/>
      <c r="AL44" s="98"/>
      <c r="AM44" s="98"/>
      <c r="AN44" s="107"/>
      <c r="AO44" s="107"/>
      <c r="AP44" s="98"/>
      <c r="AQ44" s="103"/>
      <c r="AR44" s="103"/>
      <c r="AS44" s="103"/>
      <c r="AT44" s="103"/>
      <c r="AU44" s="103"/>
      <c r="AV44" s="103"/>
      <c r="AW44" s="101"/>
      <c r="AX44" s="101"/>
    </row>
    <row r="45" spans="3:50" s="83" customFormat="1" ht="21" customHeight="1">
      <c r="C45" s="75"/>
      <c r="D45" s="53"/>
      <c r="E45" s="52"/>
      <c r="F45" s="52"/>
      <c r="G45" s="52"/>
      <c r="H45" s="73"/>
      <c r="I45" s="57"/>
      <c r="J45" s="73"/>
      <c r="K45" s="73"/>
      <c r="L45" s="56"/>
      <c r="M45" s="56"/>
      <c r="N45" s="56"/>
      <c r="O45" s="56"/>
      <c r="P45" s="73"/>
      <c r="Q45" s="104"/>
      <c r="R45" s="73"/>
      <c r="S45" s="73"/>
      <c r="T45" s="73"/>
      <c r="U45" s="56"/>
      <c r="V45" s="56"/>
      <c r="W45" s="73"/>
      <c r="X45" s="52"/>
      <c r="Y45" s="52"/>
      <c r="Z45" s="56"/>
      <c r="AA45" s="52"/>
      <c r="AB45" s="75"/>
      <c r="AC45" s="56"/>
      <c r="AD45" s="75"/>
      <c r="AE45" s="75"/>
      <c r="AF45" s="73"/>
      <c r="AG45" s="76"/>
      <c r="AH45" s="76"/>
      <c r="AI45" s="77"/>
      <c r="AJ45" s="52"/>
      <c r="AK45" s="78"/>
      <c r="AL45" s="98"/>
      <c r="AM45" s="98"/>
      <c r="AN45" s="107"/>
      <c r="AO45" s="107"/>
      <c r="AP45" s="98"/>
      <c r="AQ45" s="103"/>
      <c r="AR45" s="103"/>
      <c r="AS45" s="103"/>
      <c r="AT45" s="103"/>
      <c r="AU45" s="103"/>
      <c r="AV45" s="103"/>
      <c r="AW45" s="101"/>
      <c r="AX45" s="101"/>
    </row>
    <row r="46" spans="3:50" s="83" customFormat="1" ht="21" customHeight="1">
      <c r="C46" s="75"/>
      <c r="D46" s="53"/>
      <c r="E46" s="52"/>
      <c r="F46" s="52"/>
      <c r="G46" s="52"/>
      <c r="H46" s="73"/>
      <c r="I46" s="57"/>
      <c r="J46" s="73"/>
      <c r="K46" s="73"/>
      <c r="L46" s="56"/>
      <c r="M46" s="56"/>
      <c r="N46" s="56"/>
      <c r="O46" s="56"/>
      <c r="P46" s="73"/>
      <c r="Q46" s="104"/>
      <c r="R46" s="73"/>
      <c r="S46" s="73"/>
      <c r="T46" s="73"/>
      <c r="U46" s="56"/>
      <c r="V46" s="56"/>
      <c r="W46" s="73"/>
      <c r="X46" s="52"/>
      <c r="Y46" s="52"/>
      <c r="Z46" s="56"/>
      <c r="AA46" s="52"/>
      <c r="AB46" s="75"/>
      <c r="AC46" s="56"/>
      <c r="AD46" s="75"/>
      <c r="AE46" s="75"/>
      <c r="AF46" s="73"/>
      <c r="AG46" s="76"/>
      <c r="AH46" s="76"/>
      <c r="AI46" s="77"/>
      <c r="AJ46" s="52"/>
      <c r="AK46" s="78"/>
      <c r="AL46" s="98"/>
      <c r="AM46" s="98"/>
      <c r="AN46" s="107"/>
      <c r="AO46" s="107"/>
      <c r="AP46" s="98"/>
      <c r="AQ46" s="103"/>
      <c r="AR46" s="103"/>
      <c r="AS46" s="103"/>
      <c r="AT46" s="103"/>
      <c r="AU46" s="103"/>
      <c r="AV46" s="103"/>
      <c r="AW46" s="101"/>
      <c r="AX46" s="101"/>
    </row>
    <row r="47" spans="3:50" s="83" customFormat="1" ht="21" customHeight="1">
      <c r="C47" s="75"/>
      <c r="D47" s="53"/>
      <c r="E47" s="52"/>
      <c r="F47" s="52"/>
      <c r="G47" s="52"/>
      <c r="H47" s="73"/>
      <c r="I47" s="57"/>
      <c r="J47" s="73"/>
      <c r="K47" s="73"/>
      <c r="L47" s="56"/>
      <c r="M47" s="56"/>
      <c r="N47" s="56"/>
      <c r="O47" s="56"/>
      <c r="P47" s="73"/>
      <c r="Q47" s="104"/>
      <c r="R47" s="73"/>
      <c r="S47" s="73"/>
      <c r="T47" s="73"/>
      <c r="U47" s="56"/>
      <c r="V47" s="56"/>
      <c r="W47" s="73"/>
      <c r="X47" s="52"/>
      <c r="Y47" s="52"/>
      <c r="Z47" s="56"/>
      <c r="AA47" s="52"/>
      <c r="AB47" s="75"/>
      <c r="AC47" s="56"/>
      <c r="AD47" s="75"/>
      <c r="AE47" s="75"/>
      <c r="AF47" s="73"/>
      <c r="AG47" s="76"/>
      <c r="AH47" s="76"/>
      <c r="AI47" s="77"/>
      <c r="AJ47" s="52"/>
      <c r="AK47" s="78"/>
      <c r="AL47" s="98"/>
      <c r="AM47" s="98"/>
      <c r="AN47" s="107"/>
      <c r="AO47" s="107"/>
      <c r="AP47" s="98"/>
      <c r="AQ47" s="103"/>
      <c r="AR47" s="103"/>
      <c r="AS47" s="103"/>
      <c r="AT47" s="103"/>
      <c r="AU47" s="103"/>
      <c r="AV47" s="103"/>
      <c r="AW47" s="101"/>
      <c r="AX47" s="101"/>
    </row>
    <row r="48" spans="3:50" s="83" customFormat="1" ht="21" customHeight="1">
      <c r="C48" s="75"/>
      <c r="D48" s="53"/>
      <c r="E48" s="52"/>
      <c r="F48" s="52"/>
      <c r="G48" s="52"/>
      <c r="H48" s="73"/>
      <c r="I48" s="57"/>
      <c r="J48" s="73"/>
      <c r="K48" s="73"/>
      <c r="L48" s="56"/>
      <c r="M48" s="56"/>
      <c r="N48" s="56"/>
      <c r="O48" s="56"/>
      <c r="P48" s="73"/>
      <c r="Q48" s="104"/>
      <c r="R48" s="73"/>
      <c r="S48" s="73"/>
      <c r="T48" s="73"/>
      <c r="U48" s="56"/>
      <c r="V48" s="56"/>
      <c r="W48" s="73"/>
      <c r="X48" s="52"/>
      <c r="Y48" s="52"/>
      <c r="Z48" s="56"/>
      <c r="AA48" s="52"/>
      <c r="AB48" s="75"/>
      <c r="AC48" s="56"/>
      <c r="AD48" s="75"/>
      <c r="AE48" s="75"/>
      <c r="AF48" s="73"/>
      <c r="AG48" s="76"/>
      <c r="AH48" s="76"/>
      <c r="AI48" s="77"/>
      <c r="AJ48" s="52"/>
      <c r="AK48" s="78"/>
      <c r="AL48" s="98"/>
      <c r="AM48" s="98"/>
      <c r="AN48" s="107"/>
      <c r="AO48" s="107"/>
      <c r="AP48" s="98"/>
      <c r="AQ48" s="103"/>
      <c r="AR48" s="103"/>
      <c r="AS48" s="103"/>
      <c r="AT48" s="103"/>
      <c r="AU48" s="103"/>
      <c r="AV48" s="103"/>
      <c r="AW48" s="101"/>
      <c r="AX48" s="101"/>
    </row>
    <row r="49" spans="3:50" s="83" customFormat="1" ht="21" customHeight="1">
      <c r="C49" s="75"/>
      <c r="D49" s="53"/>
      <c r="E49" s="52"/>
      <c r="F49" s="52"/>
      <c r="G49" s="52"/>
      <c r="H49" s="73"/>
      <c r="I49" s="57"/>
      <c r="J49" s="73"/>
      <c r="K49" s="73"/>
      <c r="L49" s="56"/>
      <c r="M49" s="56"/>
      <c r="N49" s="56"/>
      <c r="O49" s="56"/>
      <c r="P49" s="73"/>
      <c r="Q49" s="104"/>
      <c r="R49" s="73"/>
      <c r="S49" s="73"/>
      <c r="T49" s="73"/>
      <c r="U49" s="56"/>
      <c r="V49" s="56"/>
      <c r="W49" s="73"/>
      <c r="X49" s="52"/>
      <c r="Y49" s="52"/>
      <c r="Z49" s="56"/>
      <c r="AA49" s="52"/>
      <c r="AB49" s="75"/>
      <c r="AC49" s="56"/>
      <c r="AD49" s="75"/>
      <c r="AE49" s="75"/>
      <c r="AF49" s="73"/>
      <c r="AG49" s="76"/>
      <c r="AH49" s="76"/>
      <c r="AI49" s="77"/>
      <c r="AJ49" s="52"/>
      <c r="AK49" s="78"/>
      <c r="AL49" s="98"/>
      <c r="AM49" s="98"/>
      <c r="AN49" s="107"/>
      <c r="AO49" s="107"/>
      <c r="AP49" s="98"/>
      <c r="AQ49" s="103"/>
      <c r="AR49" s="103"/>
      <c r="AS49" s="103"/>
      <c r="AT49" s="103"/>
      <c r="AU49" s="103"/>
      <c r="AV49" s="103"/>
      <c r="AW49" s="101"/>
      <c r="AX49" s="101"/>
    </row>
    <row r="50" spans="3:50" s="83" customFormat="1" ht="21" customHeight="1">
      <c r="C50" s="75"/>
      <c r="D50" s="53"/>
      <c r="E50" s="52"/>
      <c r="F50" s="52"/>
      <c r="G50" s="52"/>
      <c r="H50" s="73"/>
      <c r="I50" s="57"/>
      <c r="J50" s="73"/>
      <c r="K50" s="73"/>
      <c r="L50" s="56"/>
      <c r="M50" s="56"/>
      <c r="N50" s="56"/>
      <c r="O50" s="56"/>
      <c r="P50" s="73"/>
      <c r="Q50" s="104"/>
      <c r="R50" s="73"/>
      <c r="S50" s="73"/>
      <c r="T50" s="73"/>
      <c r="U50" s="56"/>
      <c r="V50" s="56"/>
      <c r="W50" s="73"/>
      <c r="X50" s="52"/>
      <c r="Y50" s="52"/>
      <c r="Z50" s="56"/>
      <c r="AA50" s="52"/>
      <c r="AB50" s="75"/>
      <c r="AC50" s="56"/>
      <c r="AD50" s="75"/>
      <c r="AE50" s="75"/>
      <c r="AF50" s="73"/>
      <c r="AG50" s="76"/>
      <c r="AH50" s="76"/>
      <c r="AI50" s="77"/>
      <c r="AJ50" s="52"/>
      <c r="AK50" s="78"/>
      <c r="AL50" s="98"/>
      <c r="AM50" s="98"/>
      <c r="AN50" s="107"/>
      <c r="AO50" s="107"/>
      <c r="AP50" s="98"/>
      <c r="AQ50" s="103"/>
      <c r="AR50" s="103"/>
      <c r="AS50" s="103"/>
      <c r="AT50" s="103"/>
      <c r="AU50" s="103"/>
      <c r="AV50" s="103"/>
      <c r="AW50" s="101"/>
      <c r="AX50" s="101"/>
    </row>
    <row r="51" spans="3:50" s="83" customFormat="1" ht="21" customHeight="1">
      <c r="C51" s="75"/>
      <c r="D51" s="53"/>
      <c r="E51" s="52"/>
      <c r="F51" s="52"/>
      <c r="G51" s="52"/>
      <c r="H51" s="73"/>
      <c r="I51" s="57"/>
      <c r="J51" s="73"/>
      <c r="K51" s="73"/>
      <c r="L51" s="56"/>
      <c r="M51" s="56"/>
      <c r="N51" s="56"/>
      <c r="O51" s="56"/>
      <c r="P51" s="73"/>
      <c r="Q51" s="104"/>
      <c r="R51" s="73"/>
      <c r="S51" s="73"/>
      <c r="T51" s="73"/>
      <c r="U51" s="56"/>
      <c r="V51" s="56"/>
      <c r="W51" s="73"/>
      <c r="X51" s="52"/>
      <c r="Y51" s="52"/>
      <c r="Z51" s="56"/>
      <c r="AA51" s="52"/>
      <c r="AB51" s="75"/>
      <c r="AC51" s="56"/>
      <c r="AD51" s="75"/>
      <c r="AE51" s="75"/>
      <c r="AF51" s="73"/>
      <c r="AG51" s="76"/>
      <c r="AH51" s="76"/>
      <c r="AI51" s="77"/>
      <c r="AJ51" s="52"/>
      <c r="AK51" s="78"/>
      <c r="AL51" s="98"/>
      <c r="AM51" s="98"/>
      <c r="AN51" s="107"/>
      <c r="AO51" s="107"/>
      <c r="AP51" s="98"/>
      <c r="AQ51" s="103"/>
      <c r="AR51" s="103"/>
      <c r="AS51" s="103"/>
      <c r="AT51" s="103"/>
      <c r="AU51" s="103"/>
      <c r="AV51" s="103"/>
      <c r="AW51" s="101"/>
      <c r="AX51" s="101"/>
    </row>
    <row r="52" spans="3:50" s="83" customFormat="1" ht="21" customHeight="1">
      <c r="C52" s="75"/>
      <c r="D52" s="53"/>
      <c r="E52" s="52"/>
      <c r="F52" s="52"/>
      <c r="G52" s="52"/>
      <c r="H52" s="73"/>
      <c r="I52" s="57"/>
      <c r="J52" s="73"/>
      <c r="K52" s="73"/>
      <c r="L52" s="56"/>
      <c r="M52" s="56"/>
      <c r="N52" s="56"/>
      <c r="O52" s="56"/>
      <c r="P52" s="73"/>
      <c r="Q52" s="104"/>
      <c r="R52" s="73"/>
      <c r="S52" s="73"/>
      <c r="T52" s="73"/>
      <c r="U52" s="56"/>
      <c r="V52" s="56"/>
      <c r="W52" s="73"/>
      <c r="X52" s="52"/>
      <c r="Y52" s="52"/>
      <c r="Z52" s="56"/>
      <c r="AA52" s="52"/>
      <c r="AB52" s="75"/>
      <c r="AC52" s="56"/>
      <c r="AD52" s="75"/>
      <c r="AE52" s="75"/>
      <c r="AF52" s="73"/>
      <c r="AG52" s="76"/>
      <c r="AH52" s="76"/>
      <c r="AI52" s="77"/>
      <c r="AJ52" s="52"/>
      <c r="AK52" s="78"/>
      <c r="AL52" s="98"/>
      <c r="AM52" s="98"/>
      <c r="AN52" s="107"/>
      <c r="AO52" s="107"/>
      <c r="AP52" s="98"/>
      <c r="AQ52" s="103"/>
      <c r="AR52" s="103"/>
      <c r="AS52" s="103"/>
      <c r="AT52" s="103"/>
      <c r="AU52" s="103"/>
      <c r="AV52" s="103"/>
      <c r="AW52" s="101"/>
      <c r="AX52" s="101"/>
    </row>
    <row r="53" spans="3:50" s="83" customFormat="1" ht="21" customHeight="1">
      <c r="C53" s="75"/>
      <c r="D53" s="53"/>
      <c r="E53" s="52"/>
      <c r="F53" s="52"/>
      <c r="G53" s="52"/>
      <c r="H53" s="73"/>
      <c r="I53" s="57"/>
      <c r="J53" s="73"/>
      <c r="K53" s="73"/>
      <c r="L53" s="56"/>
      <c r="M53" s="56"/>
      <c r="N53" s="56"/>
      <c r="O53" s="56"/>
      <c r="P53" s="73"/>
      <c r="Q53" s="104"/>
      <c r="R53" s="73"/>
      <c r="S53" s="73"/>
      <c r="T53" s="73"/>
      <c r="U53" s="56"/>
      <c r="V53" s="56"/>
      <c r="W53" s="73"/>
      <c r="X53" s="52"/>
      <c r="Y53" s="52"/>
      <c r="Z53" s="56"/>
      <c r="AA53" s="52"/>
      <c r="AB53" s="75"/>
      <c r="AC53" s="56"/>
      <c r="AD53" s="75"/>
      <c r="AE53" s="75"/>
      <c r="AF53" s="73"/>
      <c r="AG53" s="76"/>
      <c r="AH53" s="76"/>
      <c r="AI53" s="77"/>
      <c r="AJ53" s="52"/>
      <c r="AK53" s="78"/>
      <c r="AL53" s="98"/>
      <c r="AM53" s="98"/>
      <c r="AN53" s="107"/>
      <c r="AO53" s="107"/>
      <c r="AP53" s="98"/>
      <c r="AQ53" s="103"/>
      <c r="AR53" s="103"/>
      <c r="AS53" s="103"/>
      <c r="AT53" s="103"/>
      <c r="AU53" s="103"/>
      <c r="AV53" s="103"/>
      <c r="AW53" s="101"/>
      <c r="AX53" s="101"/>
    </row>
    <row r="54" spans="3:50" s="83" customFormat="1" ht="21" customHeight="1">
      <c r="C54" s="75"/>
      <c r="D54" s="53"/>
      <c r="E54" s="52"/>
      <c r="F54" s="52"/>
      <c r="G54" s="52"/>
      <c r="H54" s="73"/>
      <c r="I54" s="57"/>
      <c r="J54" s="73"/>
      <c r="K54" s="73"/>
      <c r="L54" s="56"/>
      <c r="M54" s="56"/>
      <c r="N54" s="56"/>
      <c r="O54" s="56"/>
      <c r="P54" s="73"/>
      <c r="Q54" s="104"/>
      <c r="R54" s="73"/>
      <c r="S54" s="73"/>
      <c r="T54" s="73"/>
      <c r="U54" s="56"/>
      <c r="V54" s="56"/>
      <c r="W54" s="73"/>
      <c r="X54" s="52"/>
      <c r="Y54" s="52"/>
      <c r="Z54" s="56"/>
      <c r="AA54" s="52"/>
      <c r="AB54" s="75"/>
      <c r="AC54" s="56"/>
      <c r="AD54" s="75"/>
      <c r="AE54" s="75"/>
      <c r="AF54" s="73"/>
      <c r="AG54" s="76"/>
      <c r="AH54" s="76"/>
      <c r="AI54" s="77"/>
      <c r="AJ54" s="52"/>
      <c r="AK54" s="78"/>
      <c r="AL54" s="98"/>
      <c r="AM54" s="98"/>
      <c r="AN54" s="107"/>
      <c r="AO54" s="107"/>
      <c r="AP54" s="98"/>
      <c r="AQ54" s="103"/>
      <c r="AR54" s="103"/>
      <c r="AS54" s="103"/>
      <c r="AT54" s="103"/>
      <c r="AU54" s="103"/>
      <c r="AV54" s="103"/>
      <c r="AW54" s="101"/>
      <c r="AX54" s="101"/>
    </row>
    <row r="55" spans="3:50" s="83" customFormat="1" ht="21" customHeight="1">
      <c r="C55" s="75"/>
      <c r="D55" s="53"/>
      <c r="E55" s="52"/>
      <c r="F55" s="52"/>
      <c r="G55" s="52"/>
      <c r="H55" s="73"/>
      <c r="I55" s="57"/>
      <c r="J55" s="73"/>
      <c r="K55" s="73"/>
      <c r="L55" s="56"/>
      <c r="M55" s="56"/>
      <c r="N55" s="56"/>
      <c r="O55" s="56"/>
      <c r="P55" s="73"/>
      <c r="Q55" s="104"/>
      <c r="R55" s="73"/>
      <c r="S55" s="73"/>
      <c r="T55" s="73"/>
      <c r="U55" s="56"/>
      <c r="V55" s="56"/>
      <c r="W55" s="73"/>
      <c r="X55" s="52"/>
      <c r="Y55" s="52"/>
      <c r="Z55" s="56"/>
      <c r="AA55" s="52"/>
      <c r="AB55" s="75"/>
      <c r="AC55" s="56"/>
      <c r="AD55" s="75"/>
      <c r="AE55" s="75"/>
      <c r="AF55" s="73"/>
      <c r="AG55" s="76"/>
      <c r="AH55" s="76"/>
      <c r="AI55" s="77"/>
      <c r="AJ55" s="52"/>
      <c r="AK55" s="78"/>
      <c r="AL55" s="98"/>
      <c r="AM55" s="98"/>
      <c r="AN55" s="107"/>
      <c r="AO55" s="107"/>
      <c r="AP55" s="98"/>
      <c r="AQ55" s="103"/>
      <c r="AR55" s="103"/>
      <c r="AS55" s="103"/>
      <c r="AT55" s="103"/>
      <c r="AU55" s="103"/>
      <c r="AV55" s="103"/>
      <c r="AW55" s="101"/>
      <c r="AX55" s="101"/>
    </row>
    <row r="56" spans="3:50" s="83" customFormat="1" ht="21" customHeight="1">
      <c r="C56" s="75"/>
      <c r="D56" s="53"/>
      <c r="E56" s="52"/>
      <c r="F56" s="52"/>
      <c r="G56" s="52"/>
      <c r="H56" s="73"/>
      <c r="I56" s="57"/>
      <c r="J56" s="73"/>
      <c r="K56" s="73"/>
      <c r="L56" s="56"/>
      <c r="M56" s="56"/>
      <c r="N56" s="56"/>
      <c r="O56" s="56"/>
      <c r="P56" s="73"/>
      <c r="Q56" s="104"/>
      <c r="R56" s="73"/>
      <c r="S56" s="73"/>
      <c r="T56" s="73"/>
      <c r="U56" s="56"/>
      <c r="V56" s="56"/>
      <c r="W56" s="73"/>
      <c r="X56" s="52"/>
      <c r="Y56" s="52"/>
      <c r="Z56" s="56"/>
      <c r="AA56" s="52"/>
      <c r="AB56" s="75"/>
      <c r="AC56" s="56"/>
      <c r="AD56" s="75"/>
      <c r="AE56" s="75"/>
      <c r="AF56" s="73"/>
      <c r="AG56" s="76"/>
      <c r="AH56" s="76"/>
      <c r="AI56" s="77"/>
      <c r="AJ56" s="52"/>
      <c r="AK56" s="78"/>
      <c r="AL56" s="98"/>
      <c r="AM56" s="98"/>
      <c r="AN56" s="107"/>
      <c r="AO56" s="107"/>
      <c r="AP56" s="98"/>
      <c r="AQ56" s="103"/>
      <c r="AR56" s="103"/>
      <c r="AS56" s="103"/>
      <c r="AT56" s="103"/>
      <c r="AU56" s="103"/>
      <c r="AV56" s="103"/>
      <c r="AW56" s="101"/>
      <c r="AX56" s="101"/>
    </row>
    <row r="57" spans="3:50" s="83" customFormat="1" ht="21" customHeight="1">
      <c r="C57" s="75"/>
      <c r="D57" s="53"/>
      <c r="E57" s="52"/>
      <c r="F57" s="52"/>
      <c r="G57" s="52"/>
      <c r="H57" s="73"/>
      <c r="I57" s="57"/>
      <c r="J57" s="73"/>
      <c r="K57" s="73"/>
      <c r="L57" s="56"/>
      <c r="M57" s="56"/>
      <c r="N57" s="56"/>
      <c r="O57" s="56"/>
      <c r="P57" s="73"/>
      <c r="Q57" s="104"/>
      <c r="R57" s="73"/>
      <c r="S57" s="73"/>
      <c r="T57" s="73"/>
      <c r="U57" s="56"/>
      <c r="V57" s="56"/>
      <c r="W57" s="73"/>
      <c r="X57" s="52"/>
      <c r="Y57" s="52"/>
      <c r="Z57" s="56"/>
      <c r="AA57" s="52"/>
      <c r="AB57" s="75"/>
      <c r="AC57" s="56"/>
      <c r="AD57" s="75"/>
      <c r="AE57" s="75"/>
      <c r="AF57" s="73"/>
      <c r="AG57" s="76"/>
      <c r="AH57" s="76"/>
      <c r="AI57" s="77"/>
      <c r="AJ57" s="52"/>
      <c r="AK57" s="78"/>
      <c r="AL57" s="98"/>
      <c r="AM57" s="98"/>
      <c r="AN57" s="107"/>
      <c r="AO57" s="107"/>
      <c r="AP57" s="98"/>
      <c r="AQ57" s="103"/>
      <c r="AR57" s="103"/>
      <c r="AS57" s="103"/>
      <c r="AT57" s="103"/>
      <c r="AU57" s="103"/>
      <c r="AV57" s="103"/>
      <c r="AW57" s="101"/>
      <c r="AX57" s="101"/>
    </row>
    <row r="58" spans="3:50" s="83" customFormat="1" ht="21" customHeight="1">
      <c r="C58" s="75"/>
      <c r="D58" s="53"/>
      <c r="E58" s="52"/>
      <c r="F58" s="52"/>
      <c r="G58" s="52"/>
      <c r="H58" s="73"/>
      <c r="I58" s="57"/>
      <c r="J58" s="73"/>
      <c r="K58" s="73"/>
      <c r="L58" s="56"/>
      <c r="M58" s="56"/>
      <c r="N58" s="56"/>
      <c r="O58" s="56"/>
      <c r="P58" s="73"/>
      <c r="Q58" s="104"/>
      <c r="R58" s="73"/>
      <c r="S58" s="73"/>
      <c r="T58" s="73"/>
      <c r="U58" s="56"/>
      <c r="V58" s="56"/>
      <c r="W58" s="73"/>
      <c r="X58" s="52"/>
      <c r="Y58" s="52"/>
      <c r="Z58" s="56"/>
      <c r="AA58" s="52"/>
      <c r="AB58" s="75"/>
      <c r="AC58" s="56"/>
      <c r="AD58" s="75"/>
      <c r="AE58" s="75"/>
      <c r="AF58" s="73"/>
      <c r="AG58" s="76"/>
      <c r="AH58" s="76"/>
      <c r="AI58" s="77"/>
      <c r="AJ58" s="52"/>
      <c r="AK58" s="78"/>
      <c r="AL58" s="98"/>
      <c r="AM58" s="98"/>
      <c r="AN58" s="107"/>
      <c r="AO58" s="107"/>
      <c r="AP58" s="98"/>
      <c r="AQ58" s="103"/>
      <c r="AR58" s="103"/>
      <c r="AS58" s="103"/>
      <c r="AT58" s="103"/>
      <c r="AU58" s="103"/>
      <c r="AV58" s="103"/>
      <c r="AW58" s="101"/>
      <c r="AX58" s="101"/>
    </row>
    <row r="59" spans="3:50" s="83" customFormat="1" ht="21" customHeight="1">
      <c r="C59" s="75"/>
      <c r="D59" s="53"/>
      <c r="E59" s="52"/>
      <c r="F59" s="52"/>
      <c r="G59" s="52"/>
      <c r="H59" s="73"/>
      <c r="I59" s="57"/>
      <c r="J59" s="73"/>
      <c r="K59" s="73"/>
      <c r="L59" s="56"/>
      <c r="M59" s="56"/>
      <c r="N59" s="56"/>
      <c r="O59" s="56"/>
      <c r="P59" s="73"/>
      <c r="Q59" s="104"/>
      <c r="R59" s="73"/>
      <c r="S59" s="73"/>
      <c r="T59" s="73"/>
      <c r="U59" s="56"/>
      <c r="V59" s="56"/>
      <c r="W59" s="73"/>
      <c r="X59" s="52"/>
      <c r="Y59" s="52"/>
      <c r="Z59" s="56"/>
      <c r="AA59" s="52"/>
      <c r="AB59" s="75"/>
      <c r="AC59" s="56"/>
      <c r="AD59" s="75"/>
      <c r="AE59" s="75"/>
      <c r="AF59" s="73"/>
      <c r="AG59" s="76"/>
      <c r="AH59" s="76"/>
      <c r="AI59" s="77"/>
      <c r="AJ59" s="52"/>
      <c r="AK59" s="78"/>
      <c r="AL59" s="98"/>
      <c r="AM59" s="98"/>
      <c r="AN59" s="107"/>
      <c r="AO59" s="107"/>
      <c r="AP59" s="98"/>
      <c r="AQ59" s="103"/>
      <c r="AR59" s="103"/>
      <c r="AS59" s="103"/>
      <c r="AT59" s="103"/>
      <c r="AU59" s="103"/>
      <c r="AV59" s="103"/>
      <c r="AW59" s="101"/>
      <c r="AX59" s="101"/>
    </row>
    <row r="60" spans="3:50" s="83" customFormat="1" ht="21" customHeight="1">
      <c r="C60" s="75"/>
      <c r="D60" s="53"/>
      <c r="E60" s="52"/>
      <c r="F60" s="52"/>
      <c r="G60" s="52"/>
      <c r="H60" s="73"/>
      <c r="I60" s="57"/>
      <c r="J60" s="73"/>
      <c r="K60" s="73"/>
      <c r="L60" s="56"/>
      <c r="M60" s="56"/>
      <c r="N60" s="56"/>
      <c r="O60" s="56"/>
      <c r="P60" s="73"/>
      <c r="Q60" s="104"/>
      <c r="R60" s="73"/>
      <c r="S60" s="73"/>
      <c r="T60" s="73"/>
      <c r="U60" s="56"/>
      <c r="V60" s="56"/>
      <c r="W60" s="73"/>
      <c r="X60" s="52"/>
      <c r="Y60" s="52"/>
      <c r="Z60" s="56"/>
      <c r="AA60" s="52"/>
      <c r="AB60" s="75"/>
      <c r="AC60" s="56"/>
      <c r="AD60" s="75"/>
      <c r="AE60" s="75"/>
      <c r="AF60" s="73"/>
      <c r="AG60" s="76"/>
      <c r="AH60" s="76"/>
      <c r="AI60" s="77"/>
      <c r="AJ60" s="52"/>
      <c r="AK60" s="78"/>
      <c r="AL60" s="98"/>
      <c r="AM60" s="98"/>
      <c r="AN60" s="107"/>
      <c r="AO60" s="107"/>
      <c r="AP60" s="98"/>
      <c r="AQ60" s="103"/>
      <c r="AR60" s="103"/>
      <c r="AS60" s="103"/>
      <c r="AT60" s="103"/>
      <c r="AU60" s="103"/>
      <c r="AV60" s="103"/>
      <c r="AW60" s="101"/>
      <c r="AX60" s="101"/>
    </row>
    <row r="61" spans="3:50" s="83" customFormat="1" ht="21" customHeight="1">
      <c r="C61" s="75"/>
      <c r="D61" s="53"/>
      <c r="E61" s="52"/>
      <c r="F61" s="52"/>
      <c r="G61" s="52"/>
      <c r="H61" s="73"/>
      <c r="I61" s="57"/>
      <c r="J61" s="73"/>
      <c r="K61" s="73"/>
      <c r="L61" s="56"/>
      <c r="M61" s="56"/>
      <c r="N61" s="56"/>
      <c r="O61" s="56"/>
      <c r="P61" s="73"/>
      <c r="Q61" s="104"/>
      <c r="R61" s="73"/>
      <c r="S61" s="73"/>
      <c r="T61" s="73"/>
      <c r="U61" s="56"/>
      <c r="V61" s="56"/>
      <c r="W61" s="73"/>
      <c r="X61" s="52"/>
      <c r="Y61" s="52"/>
      <c r="Z61" s="56"/>
      <c r="AA61" s="52"/>
      <c r="AB61" s="75"/>
      <c r="AC61" s="56"/>
      <c r="AD61" s="75"/>
      <c r="AE61" s="75"/>
      <c r="AF61" s="73"/>
      <c r="AG61" s="76"/>
      <c r="AH61" s="76"/>
      <c r="AI61" s="77"/>
      <c r="AJ61" s="52"/>
      <c r="AK61" s="78"/>
      <c r="AL61" s="98"/>
      <c r="AM61" s="98"/>
      <c r="AN61" s="107"/>
      <c r="AO61" s="107"/>
      <c r="AP61" s="98"/>
      <c r="AQ61" s="103"/>
      <c r="AR61" s="103"/>
      <c r="AS61" s="103"/>
      <c r="AT61" s="103"/>
      <c r="AU61" s="103"/>
      <c r="AV61" s="103"/>
      <c r="AW61" s="101"/>
      <c r="AX61" s="101"/>
    </row>
    <row r="62" spans="3:50" s="83" customFormat="1" ht="21" customHeight="1">
      <c r="C62" s="75"/>
      <c r="D62" s="53"/>
      <c r="E62" s="52"/>
      <c r="F62" s="52"/>
      <c r="G62" s="52"/>
      <c r="H62" s="73"/>
      <c r="I62" s="57"/>
      <c r="J62" s="73"/>
      <c r="K62" s="73"/>
      <c r="L62" s="56"/>
      <c r="M62" s="56"/>
      <c r="N62" s="56"/>
      <c r="O62" s="56"/>
      <c r="P62" s="73"/>
      <c r="Q62" s="104"/>
      <c r="R62" s="73"/>
      <c r="S62" s="73"/>
      <c r="T62" s="73"/>
      <c r="U62" s="56"/>
      <c r="V62" s="56"/>
      <c r="W62" s="73"/>
      <c r="X62" s="52"/>
      <c r="Y62" s="52"/>
      <c r="Z62" s="56"/>
      <c r="AA62" s="52"/>
      <c r="AB62" s="75"/>
      <c r="AC62" s="56"/>
      <c r="AD62" s="75"/>
      <c r="AE62" s="75"/>
      <c r="AF62" s="73"/>
      <c r="AG62" s="76"/>
      <c r="AH62" s="76"/>
      <c r="AI62" s="77"/>
      <c r="AJ62" s="52"/>
      <c r="AK62" s="78"/>
      <c r="AL62" s="98"/>
      <c r="AM62" s="98"/>
      <c r="AN62" s="107"/>
      <c r="AO62" s="107"/>
      <c r="AP62" s="98"/>
      <c r="AQ62" s="103"/>
      <c r="AR62" s="103"/>
      <c r="AS62" s="103"/>
      <c r="AT62" s="103"/>
      <c r="AU62" s="103"/>
      <c r="AV62" s="103"/>
      <c r="AW62" s="101"/>
      <c r="AX62" s="101"/>
    </row>
    <row r="63" spans="3:50" s="83" customFormat="1" ht="21" customHeight="1">
      <c r="C63" s="75"/>
      <c r="D63" s="53"/>
      <c r="E63" s="52"/>
      <c r="F63" s="52"/>
      <c r="G63" s="52"/>
      <c r="H63" s="73"/>
      <c r="I63" s="57"/>
      <c r="J63" s="73"/>
      <c r="K63" s="73"/>
      <c r="L63" s="56"/>
      <c r="M63" s="56"/>
      <c r="N63" s="56"/>
      <c r="O63" s="56"/>
      <c r="P63" s="73"/>
      <c r="Q63" s="104"/>
      <c r="R63" s="73"/>
      <c r="S63" s="73"/>
      <c r="T63" s="73"/>
      <c r="U63" s="56"/>
      <c r="V63" s="56"/>
      <c r="W63" s="73"/>
      <c r="X63" s="52"/>
      <c r="Y63" s="52"/>
      <c r="Z63" s="56"/>
      <c r="AA63" s="52"/>
      <c r="AB63" s="75"/>
      <c r="AC63" s="56"/>
      <c r="AD63" s="75"/>
      <c r="AE63" s="75"/>
      <c r="AF63" s="73"/>
      <c r="AG63" s="76"/>
      <c r="AH63" s="76"/>
      <c r="AI63" s="77"/>
      <c r="AJ63" s="52"/>
      <c r="AK63" s="78"/>
      <c r="AL63" s="98"/>
      <c r="AM63" s="98"/>
      <c r="AN63" s="107"/>
      <c r="AO63" s="107"/>
      <c r="AP63" s="98"/>
      <c r="AQ63" s="103"/>
      <c r="AR63" s="103"/>
      <c r="AS63" s="103"/>
      <c r="AT63" s="103"/>
      <c r="AU63" s="103"/>
      <c r="AV63" s="103"/>
      <c r="AW63" s="101"/>
      <c r="AX63" s="101"/>
    </row>
    <row r="64" spans="3:50" s="83" customFormat="1" ht="21" customHeight="1">
      <c r="C64" s="75"/>
      <c r="D64" s="53"/>
      <c r="E64" s="52"/>
      <c r="F64" s="52"/>
      <c r="G64" s="52"/>
      <c r="H64" s="73"/>
      <c r="I64" s="57"/>
      <c r="J64" s="73"/>
      <c r="K64" s="73"/>
      <c r="L64" s="56"/>
      <c r="M64" s="56"/>
      <c r="N64" s="56"/>
      <c r="O64" s="56"/>
      <c r="P64" s="73"/>
      <c r="Q64" s="104"/>
      <c r="R64" s="73"/>
      <c r="S64" s="73"/>
      <c r="T64" s="73"/>
      <c r="U64" s="56"/>
      <c r="V64" s="56"/>
      <c r="W64" s="73"/>
      <c r="X64" s="52"/>
      <c r="Y64" s="52"/>
      <c r="Z64" s="56"/>
      <c r="AA64" s="52"/>
      <c r="AB64" s="75"/>
      <c r="AC64" s="56"/>
      <c r="AD64" s="75"/>
      <c r="AE64" s="75"/>
      <c r="AF64" s="73"/>
      <c r="AG64" s="76"/>
      <c r="AH64" s="76"/>
      <c r="AI64" s="77"/>
      <c r="AJ64" s="52"/>
      <c r="AK64" s="78"/>
      <c r="AL64" s="98"/>
      <c r="AM64" s="98"/>
      <c r="AN64" s="107"/>
      <c r="AO64" s="107"/>
      <c r="AP64" s="98"/>
      <c r="AQ64" s="103"/>
      <c r="AR64" s="103"/>
      <c r="AS64" s="103"/>
      <c r="AT64" s="103"/>
      <c r="AU64" s="103"/>
      <c r="AV64" s="103"/>
      <c r="AW64" s="101"/>
      <c r="AX64" s="101"/>
    </row>
    <row r="65" spans="3:50" s="83" customFormat="1" ht="21" customHeight="1">
      <c r="C65" s="75"/>
      <c r="D65" s="53"/>
      <c r="E65" s="52"/>
      <c r="F65" s="52"/>
      <c r="G65" s="52"/>
      <c r="H65" s="73"/>
      <c r="I65" s="57"/>
      <c r="J65" s="73"/>
      <c r="K65" s="73"/>
      <c r="L65" s="56"/>
      <c r="M65" s="56"/>
      <c r="N65" s="56"/>
      <c r="O65" s="56"/>
      <c r="P65" s="73"/>
      <c r="Q65" s="104"/>
      <c r="R65" s="73"/>
      <c r="S65" s="73"/>
      <c r="T65" s="73"/>
      <c r="U65" s="56"/>
      <c r="V65" s="56"/>
      <c r="W65" s="73"/>
      <c r="X65" s="52"/>
      <c r="Y65" s="52"/>
      <c r="Z65" s="56"/>
      <c r="AA65" s="52"/>
      <c r="AB65" s="75"/>
      <c r="AC65" s="56"/>
      <c r="AD65" s="75"/>
      <c r="AE65" s="75"/>
      <c r="AF65" s="73"/>
      <c r="AG65" s="76"/>
      <c r="AH65" s="76"/>
      <c r="AI65" s="77"/>
      <c r="AJ65" s="52"/>
      <c r="AK65" s="78"/>
      <c r="AL65" s="98"/>
      <c r="AM65" s="98"/>
      <c r="AN65" s="107"/>
      <c r="AO65" s="107"/>
      <c r="AP65" s="98"/>
      <c r="AQ65" s="103"/>
      <c r="AR65" s="103"/>
      <c r="AS65" s="103"/>
      <c r="AT65" s="103"/>
      <c r="AU65" s="103"/>
      <c r="AV65" s="103"/>
      <c r="AW65" s="101"/>
      <c r="AX65" s="101"/>
    </row>
    <row r="66" spans="3:50" s="83" customFormat="1" ht="21" customHeight="1">
      <c r="C66" s="75"/>
      <c r="D66" s="53"/>
      <c r="E66" s="52"/>
      <c r="F66" s="52"/>
      <c r="G66" s="52"/>
      <c r="H66" s="73"/>
      <c r="I66" s="57"/>
      <c r="J66" s="73"/>
      <c r="K66" s="73"/>
      <c r="L66" s="56"/>
      <c r="M66" s="56"/>
      <c r="N66" s="56"/>
      <c r="O66" s="56"/>
      <c r="P66" s="73"/>
      <c r="Q66" s="104"/>
      <c r="R66" s="73"/>
      <c r="S66" s="73"/>
      <c r="T66" s="73"/>
      <c r="U66" s="56"/>
      <c r="V66" s="56"/>
      <c r="W66" s="73"/>
      <c r="X66" s="52"/>
      <c r="Y66" s="52"/>
      <c r="Z66" s="56"/>
      <c r="AA66" s="52"/>
      <c r="AB66" s="75"/>
      <c r="AC66" s="56"/>
      <c r="AD66" s="75"/>
      <c r="AE66" s="75"/>
      <c r="AF66" s="73"/>
      <c r="AG66" s="76"/>
      <c r="AH66" s="76"/>
      <c r="AI66" s="77"/>
      <c r="AJ66" s="52"/>
      <c r="AK66" s="78"/>
      <c r="AL66" s="98"/>
      <c r="AM66" s="98"/>
      <c r="AN66" s="107"/>
      <c r="AO66" s="107"/>
      <c r="AP66" s="98"/>
      <c r="AQ66" s="103"/>
      <c r="AR66" s="103"/>
      <c r="AS66" s="103"/>
      <c r="AT66" s="103"/>
      <c r="AU66" s="103"/>
      <c r="AV66" s="103"/>
      <c r="AW66" s="101"/>
      <c r="AX66" s="101"/>
    </row>
    <row r="67" spans="3:50" s="83" customFormat="1" ht="21" customHeight="1">
      <c r="C67" s="75"/>
      <c r="D67" s="53"/>
      <c r="E67" s="52"/>
      <c r="F67" s="52"/>
      <c r="G67" s="52"/>
      <c r="H67" s="73"/>
      <c r="I67" s="57"/>
      <c r="J67" s="73"/>
      <c r="K67" s="73"/>
      <c r="L67" s="56"/>
      <c r="M67" s="56"/>
      <c r="N67" s="56"/>
      <c r="O67" s="56"/>
      <c r="P67" s="73"/>
      <c r="Q67" s="104"/>
      <c r="R67" s="73"/>
      <c r="S67" s="73"/>
      <c r="T67" s="73"/>
      <c r="U67" s="56"/>
      <c r="V67" s="56"/>
      <c r="W67" s="73"/>
      <c r="X67" s="52"/>
      <c r="Y67" s="52"/>
      <c r="Z67" s="56"/>
      <c r="AA67" s="52"/>
      <c r="AB67" s="75"/>
      <c r="AC67" s="56"/>
      <c r="AD67" s="75"/>
      <c r="AE67" s="75"/>
      <c r="AF67" s="73"/>
      <c r="AG67" s="76"/>
      <c r="AH67" s="76"/>
      <c r="AI67" s="77"/>
      <c r="AJ67" s="52"/>
      <c r="AK67" s="78"/>
      <c r="AL67" s="98"/>
      <c r="AM67" s="98"/>
      <c r="AN67" s="107"/>
      <c r="AO67" s="107"/>
      <c r="AP67" s="98"/>
      <c r="AQ67" s="103"/>
      <c r="AR67" s="103"/>
      <c r="AS67" s="103"/>
      <c r="AT67" s="103"/>
      <c r="AU67" s="103"/>
      <c r="AV67" s="103"/>
      <c r="AW67" s="101"/>
      <c r="AX67" s="101"/>
    </row>
    <row r="68" spans="3:50" s="83" customFormat="1" ht="21" customHeight="1">
      <c r="C68" s="75"/>
      <c r="D68" s="53"/>
      <c r="E68" s="52"/>
      <c r="F68" s="52"/>
      <c r="G68" s="52"/>
      <c r="H68" s="73"/>
      <c r="I68" s="57"/>
      <c r="J68" s="73"/>
      <c r="K68" s="73"/>
      <c r="L68" s="56"/>
      <c r="M68" s="56"/>
      <c r="N68" s="56"/>
      <c r="O68" s="56"/>
      <c r="P68" s="73"/>
      <c r="Q68" s="104"/>
      <c r="R68" s="73"/>
      <c r="S68" s="73"/>
      <c r="T68" s="73"/>
      <c r="U68" s="56"/>
      <c r="V68" s="56"/>
      <c r="W68" s="73"/>
      <c r="X68" s="52"/>
      <c r="Y68" s="52"/>
      <c r="Z68" s="56"/>
      <c r="AA68" s="52"/>
      <c r="AB68" s="75"/>
      <c r="AC68" s="56"/>
      <c r="AD68" s="75"/>
      <c r="AE68" s="75"/>
      <c r="AF68" s="73"/>
      <c r="AG68" s="76"/>
      <c r="AH68" s="76"/>
      <c r="AI68" s="77"/>
      <c r="AJ68" s="52"/>
      <c r="AK68" s="78"/>
      <c r="AL68" s="98"/>
      <c r="AM68" s="98"/>
      <c r="AN68" s="107"/>
      <c r="AO68" s="107"/>
      <c r="AP68" s="98"/>
      <c r="AQ68" s="103"/>
      <c r="AR68" s="103"/>
      <c r="AS68" s="103"/>
      <c r="AT68" s="103"/>
      <c r="AU68" s="103"/>
      <c r="AV68" s="103"/>
      <c r="AW68" s="101"/>
      <c r="AX68" s="101"/>
    </row>
    <row r="69" spans="3:50" s="83" customFormat="1" ht="21" customHeight="1">
      <c r="C69" s="75"/>
      <c r="D69" s="53"/>
      <c r="E69" s="52"/>
      <c r="F69" s="52"/>
      <c r="G69" s="52"/>
      <c r="H69" s="73"/>
      <c r="I69" s="57"/>
      <c r="J69" s="73"/>
      <c r="K69" s="73"/>
      <c r="L69" s="56"/>
      <c r="M69" s="56"/>
      <c r="N69" s="56"/>
      <c r="O69" s="56"/>
      <c r="P69" s="73"/>
      <c r="Q69" s="104"/>
      <c r="R69" s="73"/>
      <c r="S69" s="73"/>
      <c r="T69" s="73"/>
      <c r="U69" s="56"/>
      <c r="V69" s="56"/>
      <c r="W69" s="73"/>
      <c r="X69" s="52"/>
      <c r="Y69" s="52"/>
      <c r="Z69" s="56"/>
      <c r="AA69" s="52"/>
      <c r="AB69" s="75"/>
      <c r="AC69" s="56"/>
      <c r="AD69" s="75"/>
      <c r="AE69" s="75"/>
      <c r="AF69" s="73"/>
      <c r="AG69" s="76"/>
      <c r="AH69" s="76"/>
      <c r="AI69" s="77"/>
      <c r="AJ69" s="52"/>
      <c r="AK69" s="78"/>
      <c r="AL69" s="98"/>
      <c r="AM69" s="98"/>
      <c r="AN69" s="107"/>
      <c r="AO69" s="107"/>
      <c r="AP69" s="98"/>
      <c r="AQ69" s="103"/>
      <c r="AR69" s="103"/>
      <c r="AS69" s="103"/>
      <c r="AT69" s="103"/>
      <c r="AU69" s="103"/>
      <c r="AV69" s="103"/>
      <c r="AW69" s="101"/>
      <c r="AX69" s="101"/>
    </row>
    <row r="70" spans="3:50" s="83" customFormat="1" ht="21" customHeight="1">
      <c r="C70" s="75"/>
      <c r="D70" s="53"/>
      <c r="E70" s="52"/>
      <c r="F70" s="52"/>
      <c r="G70" s="52"/>
      <c r="H70" s="73"/>
      <c r="I70" s="57"/>
      <c r="J70" s="73"/>
      <c r="K70" s="73"/>
      <c r="L70" s="56"/>
      <c r="M70" s="56"/>
      <c r="N70" s="56"/>
      <c r="O70" s="56"/>
      <c r="P70" s="73"/>
      <c r="Q70" s="104"/>
      <c r="R70" s="73"/>
      <c r="S70" s="73"/>
      <c r="T70" s="73"/>
      <c r="U70" s="56"/>
      <c r="V70" s="56"/>
      <c r="W70" s="73"/>
      <c r="X70" s="52"/>
      <c r="Y70" s="52"/>
      <c r="Z70" s="56"/>
      <c r="AA70" s="52"/>
      <c r="AB70" s="75"/>
      <c r="AC70" s="56"/>
      <c r="AD70" s="75"/>
      <c r="AE70" s="75"/>
      <c r="AF70" s="73"/>
      <c r="AG70" s="76"/>
      <c r="AH70" s="76"/>
      <c r="AI70" s="77"/>
      <c r="AJ70" s="52"/>
      <c r="AK70" s="78"/>
      <c r="AL70" s="98"/>
      <c r="AM70" s="98"/>
      <c r="AN70" s="107"/>
      <c r="AO70" s="107"/>
      <c r="AP70" s="98"/>
      <c r="AQ70" s="103"/>
      <c r="AR70" s="103"/>
      <c r="AS70" s="103"/>
      <c r="AT70" s="103"/>
      <c r="AU70" s="103"/>
      <c r="AV70" s="103"/>
      <c r="AW70" s="101"/>
      <c r="AX70" s="101"/>
    </row>
    <row r="71" spans="3:50" s="83" customFormat="1" ht="21" customHeight="1">
      <c r="C71" s="75"/>
      <c r="D71" s="53"/>
      <c r="E71" s="52"/>
      <c r="F71" s="52"/>
      <c r="G71" s="52"/>
      <c r="H71" s="73"/>
      <c r="I71" s="57"/>
      <c r="J71" s="73"/>
      <c r="K71" s="73"/>
      <c r="L71" s="56"/>
      <c r="M71" s="56"/>
      <c r="N71" s="56"/>
      <c r="O71" s="56"/>
      <c r="P71" s="73"/>
      <c r="Q71" s="104"/>
      <c r="R71" s="73"/>
      <c r="S71" s="73"/>
      <c r="T71" s="73"/>
      <c r="U71" s="56"/>
      <c r="V71" s="56"/>
      <c r="W71" s="73"/>
      <c r="X71" s="52"/>
      <c r="Y71" s="52"/>
      <c r="Z71" s="56"/>
      <c r="AA71" s="52"/>
      <c r="AB71" s="75"/>
      <c r="AC71" s="56"/>
      <c r="AD71" s="75"/>
      <c r="AE71" s="75"/>
      <c r="AF71" s="73"/>
      <c r="AG71" s="76"/>
      <c r="AH71" s="76"/>
      <c r="AI71" s="77"/>
      <c r="AJ71" s="52"/>
      <c r="AK71" s="78"/>
      <c r="AL71" s="98"/>
      <c r="AM71" s="98"/>
      <c r="AN71" s="107"/>
      <c r="AO71" s="107"/>
      <c r="AP71" s="98"/>
      <c r="AQ71" s="103"/>
      <c r="AR71" s="103"/>
      <c r="AS71" s="103"/>
      <c r="AT71" s="103"/>
      <c r="AU71" s="103"/>
      <c r="AV71" s="103"/>
      <c r="AW71" s="101"/>
      <c r="AX71" s="101"/>
    </row>
    <row r="72" spans="3:50" s="83" customFormat="1" ht="21" customHeight="1">
      <c r="C72" s="75"/>
      <c r="D72" s="53"/>
      <c r="E72" s="52"/>
      <c r="F72" s="52"/>
      <c r="G72" s="52"/>
      <c r="H72" s="73"/>
      <c r="I72" s="57"/>
      <c r="J72" s="73"/>
      <c r="K72" s="73"/>
      <c r="L72" s="56"/>
      <c r="M72" s="56"/>
      <c r="N72" s="56"/>
      <c r="O72" s="56"/>
      <c r="P72" s="73"/>
      <c r="Q72" s="104"/>
      <c r="R72" s="73"/>
      <c r="S72" s="73"/>
      <c r="T72" s="73"/>
      <c r="U72" s="56"/>
      <c r="V72" s="56"/>
      <c r="W72" s="73"/>
      <c r="X72" s="52"/>
      <c r="Y72" s="52"/>
      <c r="Z72" s="56"/>
      <c r="AA72" s="52"/>
      <c r="AB72" s="75"/>
      <c r="AC72" s="56"/>
      <c r="AD72" s="75"/>
      <c r="AE72" s="75"/>
      <c r="AF72" s="73"/>
      <c r="AG72" s="76"/>
      <c r="AH72" s="76"/>
      <c r="AI72" s="77"/>
      <c r="AJ72" s="52"/>
      <c r="AK72" s="78"/>
      <c r="AL72" s="98"/>
      <c r="AM72" s="98"/>
      <c r="AN72" s="107"/>
      <c r="AO72" s="107"/>
      <c r="AP72" s="98"/>
      <c r="AQ72" s="103"/>
      <c r="AR72" s="103"/>
      <c r="AS72" s="103"/>
      <c r="AT72" s="103"/>
      <c r="AU72" s="103"/>
      <c r="AV72" s="103"/>
      <c r="AW72" s="101"/>
      <c r="AX72" s="101"/>
    </row>
    <row r="73" spans="3:50" s="83" customFormat="1" ht="21" customHeight="1">
      <c r="C73" s="75"/>
      <c r="D73" s="53"/>
      <c r="E73" s="52"/>
      <c r="F73" s="52"/>
      <c r="G73" s="52"/>
      <c r="H73" s="73"/>
      <c r="I73" s="57"/>
      <c r="J73" s="73"/>
      <c r="K73" s="73"/>
      <c r="L73" s="56"/>
      <c r="M73" s="56"/>
      <c r="N73" s="56"/>
      <c r="O73" s="56"/>
      <c r="P73" s="73"/>
      <c r="Q73" s="104"/>
      <c r="R73" s="73"/>
      <c r="S73" s="73"/>
      <c r="T73" s="73"/>
      <c r="U73" s="56"/>
      <c r="V73" s="56"/>
      <c r="W73" s="73"/>
      <c r="X73" s="52"/>
      <c r="Y73" s="52"/>
      <c r="Z73" s="56"/>
      <c r="AA73" s="52"/>
      <c r="AB73" s="75"/>
      <c r="AC73" s="56"/>
      <c r="AD73" s="75"/>
      <c r="AE73" s="75"/>
      <c r="AF73" s="73"/>
      <c r="AG73" s="76"/>
      <c r="AH73" s="76"/>
      <c r="AI73" s="77"/>
      <c r="AJ73" s="52"/>
      <c r="AK73" s="78"/>
      <c r="AL73" s="98"/>
      <c r="AM73" s="98"/>
      <c r="AN73" s="107"/>
      <c r="AO73" s="107"/>
      <c r="AP73" s="98"/>
      <c r="AQ73" s="103"/>
      <c r="AR73" s="103"/>
      <c r="AS73" s="103"/>
      <c r="AT73" s="103"/>
      <c r="AU73" s="103"/>
      <c r="AV73" s="103"/>
      <c r="AW73" s="101"/>
      <c r="AX73" s="101"/>
    </row>
    <row r="74" spans="3:50" s="83" customFormat="1" ht="21" customHeight="1">
      <c r="C74" s="75"/>
      <c r="D74" s="53"/>
      <c r="E74" s="52"/>
      <c r="F74" s="52"/>
      <c r="G74" s="52"/>
      <c r="H74" s="73"/>
      <c r="I74" s="57"/>
      <c r="J74" s="73"/>
      <c r="K74" s="73"/>
      <c r="L74" s="56"/>
      <c r="M74" s="56"/>
      <c r="N74" s="56"/>
      <c r="O74" s="56"/>
      <c r="P74" s="73"/>
      <c r="Q74" s="104"/>
      <c r="R74" s="73"/>
      <c r="S74" s="73"/>
      <c r="T74" s="73"/>
      <c r="U74" s="56"/>
      <c r="V74" s="56"/>
      <c r="W74" s="73"/>
      <c r="X74" s="52"/>
      <c r="Y74" s="52"/>
      <c r="Z74" s="56"/>
      <c r="AA74" s="52"/>
      <c r="AB74" s="75"/>
      <c r="AC74" s="56"/>
      <c r="AD74" s="75"/>
      <c r="AE74" s="75"/>
      <c r="AF74" s="73"/>
      <c r="AG74" s="76"/>
      <c r="AH74" s="76"/>
      <c r="AI74" s="77"/>
      <c r="AJ74" s="52"/>
      <c r="AK74" s="78"/>
      <c r="AL74" s="98"/>
      <c r="AM74" s="98"/>
      <c r="AN74" s="107"/>
      <c r="AO74" s="107"/>
      <c r="AP74" s="98"/>
      <c r="AQ74" s="103"/>
      <c r="AR74" s="103"/>
      <c r="AS74" s="103"/>
      <c r="AT74" s="103"/>
      <c r="AU74" s="103"/>
      <c r="AV74" s="103"/>
      <c r="AW74" s="101"/>
      <c r="AX74" s="101"/>
    </row>
    <row r="75" spans="3:50" s="83" customFormat="1" ht="21" customHeight="1">
      <c r="C75" s="75"/>
      <c r="D75" s="53"/>
      <c r="E75" s="52"/>
      <c r="F75" s="52"/>
      <c r="G75" s="52"/>
      <c r="H75" s="73"/>
      <c r="I75" s="57"/>
      <c r="J75" s="73"/>
      <c r="K75" s="73"/>
      <c r="L75" s="56"/>
      <c r="M75" s="56"/>
      <c r="N75" s="56"/>
      <c r="O75" s="56"/>
      <c r="P75" s="73"/>
      <c r="Q75" s="104"/>
      <c r="R75" s="73"/>
      <c r="S75" s="73"/>
      <c r="T75" s="73"/>
      <c r="U75" s="56"/>
      <c r="V75" s="56"/>
      <c r="W75" s="73"/>
      <c r="X75" s="52"/>
      <c r="Y75" s="52"/>
      <c r="Z75" s="56"/>
      <c r="AA75" s="52"/>
      <c r="AB75" s="75"/>
      <c r="AC75" s="56"/>
      <c r="AD75" s="75"/>
      <c r="AE75" s="75"/>
      <c r="AF75" s="73"/>
      <c r="AG75" s="76"/>
      <c r="AH75" s="76"/>
      <c r="AI75" s="77"/>
      <c r="AJ75" s="52"/>
      <c r="AK75" s="78"/>
      <c r="AL75" s="98"/>
      <c r="AM75" s="98"/>
      <c r="AN75" s="107"/>
      <c r="AO75" s="107"/>
      <c r="AP75" s="98"/>
      <c r="AQ75" s="103"/>
      <c r="AR75" s="103"/>
      <c r="AS75" s="103"/>
      <c r="AT75" s="103"/>
      <c r="AU75" s="103"/>
      <c r="AV75" s="103"/>
      <c r="AW75" s="101"/>
      <c r="AX75" s="101"/>
    </row>
    <row r="76" spans="3:50" s="83" customFormat="1" ht="21" customHeight="1">
      <c r="C76" s="75"/>
      <c r="D76" s="53"/>
      <c r="E76" s="52"/>
      <c r="F76" s="52"/>
      <c r="G76" s="52"/>
      <c r="H76" s="73"/>
      <c r="I76" s="57"/>
      <c r="J76" s="73"/>
      <c r="K76" s="73"/>
      <c r="L76" s="56"/>
      <c r="M76" s="56"/>
      <c r="N76" s="56"/>
      <c r="O76" s="56"/>
      <c r="P76" s="73"/>
      <c r="Q76" s="104"/>
      <c r="R76" s="73"/>
      <c r="S76" s="73"/>
      <c r="T76" s="73"/>
      <c r="U76" s="56"/>
      <c r="V76" s="56"/>
      <c r="W76" s="73"/>
      <c r="X76" s="52"/>
      <c r="Y76" s="52"/>
      <c r="Z76" s="56"/>
      <c r="AA76" s="52"/>
      <c r="AB76" s="75"/>
      <c r="AC76" s="56"/>
      <c r="AD76" s="75"/>
      <c r="AE76" s="75"/>
      <c r="AF76" s="73"/>
      <c r="AG76" s="76"/>
      <c r="AH76" s="76"/>
      <c r="AI76" s="77"/>
      <c r="AJ76" s="52"/>
      <c r="AK76" s="78"/>
      <c r="AL76" s="98"/>
      <c r="AM76" s="98"/>
      <c r="AN76" s="107"/>
      <c r="AO76" s="107"/>
      <c r="AP76" s="98"/>
      <c r="AQ76" s="103"/>
      <c r="AR76" s="103"/>
      <c r="AS76" s="103"/>
      <c r="AT76" s="103"/>
      <c r="AU76" s="103"/>
      <c r="AV76" s="103"/>
      <c r="AW76" s="101"/>
      <c r="AX76" s="101"/>
    </row>
    <row r="77" spans="3:50" s="83" customFormat="1" ht="21" customHeight="1">
      <c r="C77" s="75"/>
      <c r="D77" s="53"/>
      <c r="E77" s="52"/>
      <c r="F77" s="52"/>
      <c r="G77" s="52"/>
      <c r="H77" s="73"/>
      <c r="I77" s="57"/>
      <c r="J77" s="73"/>
      <c r="K77" s="73"/>
      <c r="L77" s="56"/>
      <c r="M77" s="56"/>
      <c r="N77" s="56"/>
      <c r="O77" s="56"/>
      <c r="P77" s="73"/>
      <c r="Q77" s="104"/>
      <c r="R77" s="73"/>
      <c r="S77" s="73"/>
      <c r="T77" s="73"/>
      <c r="U77" s="56"/>
      <c r="V77" s="56"/>
      <c r="W77" s="73"/>
      <c r="X77" s="52"/>
      <c r="Y77" s="52"/>
      <c r="Z77" s="56"/>
      <c r="AA77" s="52"/>
      <c r="AB77" s="75"/>
      <c r="AC77" s="56"/>
      <c r="AD77" s="75"/>
      <c r="AE77" s="75"/>
      <c r="AF77" s="73"/>
      <c r="AG77" s="76"/>
      <c r="AH77" s="76"/>
      <c r="AI77" s="77"/>
      <c r="AJ77" s="52"/>
      <c r="AK77" s="78"/>
      <c r="AL77" s="98"/>
      <c r="AM77" s="98"/>
      <c r="AN77" s="107"/>
      <c r="AO77" s="107"/>
      <c r="AP77" s="98"/>
      <c r="AQ77" s="103"/>
      <c r="AR77" s="103"/>
      <c r="AS77" s="103"/>
      <c r="AT77" s="103"/>
      <c r="AU77" s="103"/>
      <c r="AV77" s="103"/>
      <c r="AW77" s="101"/>
      <c r="AX77" s="101"/>
    </row>
    <row r="78" spans="3:50" s="83" customFormat="1" ht="21" customHeight="1">
      <c r="C78" s="75"/>
      <c r="D78" s="53"/>
      <c r="E78" s="52"/>
      <c r="F78" s="52"/>
      <c r="G78" s="52"/>
      <c r="H78" s="73"/>
      <c r="I78" s="57"/>
      <c r="J78" s="73"/>
      <c r="K78" s="73"/>
      <c r="L78" s="56"/>
      <c r="M78" s="56"/>
      <c r="N78" s="56"/>
      <c r="O78" s="56"/>
      <c r="P78" s="73"/>
      <c r="Q78" s="104"/>
      <c r="R78" s="73"/>
      <c r="S78" s="73"/>
      <c r="T78" s="73"/>
      <c r="U78" s="56"/>
      <c r="V78" s="56"/>
      <c r="W78" s="73"/>
      <c r="X78" s="52"/>
      <c r="Y78" s="52"/>
      <c r="Z78" s="56"/>
      <c r="AA78" s="52"/>
      <c r="AB78" s="75"/>
      <c r="AC78" s="56"/>
      <c r="AD78" s="75"/>
      <c r="AE78" s="75"/>
      <c r="AF78" s="73"/>
      <c r="AG78" s="76"/>
      <c r="AH78" s="76"/>
      <c r="AI78" s="77"/>
      <c r="AJ78" s="52"/>
      <c r="AK78" s="78"/>
      <c r="AL78" s="98"/>
      <c r="AM78" s="98"/>
      <c r="AN78" s="107"/>
      <c r="AO78" s="107"/>
      <c r="AP78" s="98"/>
      <c r="AQ78" s="103"/>
      <c r="AR78" s="103"/>
      <c r="AS78" s="103"/>
      <c r="AT78" s="103"/>
      <c r="AU78" s="103"/>
      <c r="AV78" s="103"/>
      <c r="AW78" s="101"/>
      <c r="AX78" s="101"/>
    </row>
    <row r="79" spans="3:50" s="83" customFormat="1" ht="21" customHeight="1">
      <c r="C79" s="75"/>
      <c r="D79" s="53"/>
      <c r="E79" s="52"/>
      <c r="F79" s="52"/>
      <c r="G79" s="52"/>
      <c r="H79" s="73"/>
      <c r="I79" s="57"/>
      <c r="J79" s="73"/>
      <c r="K79" s="73"/>
      <c r="L79" s="56"/>
      <c r="M79" s="56"/>
      <c r="N79" s="56"/>
      <c r="O79" s="56"/>
      <c r="P79" s="73"/>
      <c r="Q79" s="104"/>
      <c r="R79" s="73"/>
      <c r="S79" s="73"/>
      <c r="T79" s="73"/>
      <c r="U79" s="56"/>
      <c r="V79" s="56"/>
      <c r="W79" s="73"/>
      <c r="X79" s="52"/>
      <c r="Y79" s="52"/>
      <c r="Z79" s="56"/>
      <c r="AA79" s="52"/>
      <c r="AB79" s="75"/>
      <c r="AC79" s="56"/>
      <c r="AD79" s="75"/>
      <c r="AE79" s="75"/>
      <c r="AF79" s="73"/>
      <c r="AG79" s="76"/>
      <c r="AH79" s="76"/>
      <c r="AI79" s="77"/>
      <c r="AJ79" s="52"/>
      <c r="AK79" s="78"/>
      <c r="AL79" s="98"/>
      <c r="AM79" s="98"/>
      <c r="AN79" s="107"/>
      <c r="AO79" s="107"/>
      <c r="AP79" s="98"/>
      <c r="AQ79" s="103"/>
      <c r="AR79" s="103"/>
      <c r="AS79" s="103"/>
      <c r="AT79" s="103"/>
      <c r="AU79" s="103"/>
      <c r="AV79" s="103"/>
      <c r="AW79" s="101"/>
      <c r="AX79" s="101"/>
    </row>
    <row r="80" spans="3:50" s="83" customFormat="1" ht="21" customHeight="1">
      <c r="C80" s="75"/>
      <c r="D80" s="53"/>
      <c r="E80" s="52"/>
      <c r="F80" s="52"/>
      <c r="G80" s="52"/>
      <c r="H80" s="73"/>
      <c r="I80" s="57"/>
      <c r="J80" s="73"/>
      <c r="K80" s="73"/>
      <c r="L80" s="56"/>
      <c r="M80" s="56"/>
      <c r="N80" s="56"/>
      <c r="O80" s="56"/>
      <c r="P80" s="73"/>
      <c r="Q80" s="104"/>
      <c r="R80" s="73"/>
      <c r="S80" s="73"/>
      <c r="T80" s="73"/>
      <c r="U80" s="56"/>
      <c r="V80" s="56"/>
      <c r="W80" s="73"/>
      <c r="X80" s="52"/>
      <c r="Y80" s="52"/>
      <c r="Z80" s="56"/>
      <c r="AA80" s="52"/>
      <c r="AB80" s="75"/>
      <c r="AC80" s="56"/>
      <c r="AD80" s="75"/>
      <c r="AE80" s="75"/>
      <c r="AF80" s="73"/>
      <c r="AG80" s="76"/>
      <c r="AH80" s="76"/>
      <c r="AI80" s="77"/>
      <c r="AJ80" s="52"/>
      <c r="AK80" s="78"/>
      <c r="AL80" s="98"/>
      <c r="AM80" s="98"/>
      <c r="AN80" s="107"/>
      <c r="AO80" s="107"/>
      <c r="AP80" s="98"/>
      <c r="AQ80" s="103"/>
      <c r="AR80" s="103"/>
      <c r="AS80" s="103"/>
      <c r="AT80" s="103"/>
      <c r="AU80" s="103"/>
      <c r="AV80" s="103"/>
      <c r="AW80" s="101"/>
      <c r="AX80" s="101"/>
    </row>
    <row r="81" spans="3:50" s="83" customFormat="1" ht="21" customHeight="1">
      <c r="C81" s="75"/>
      <c r="D81" s="53"/>
      <c r="E81" s="52"/>
      <c r="F81" s="52"/>
      <c r="G81" s="52"/>
      <c r="H81" s="73"/>
      <c r="I81" s="57"/>
      <c r="J81" s="73"/>
      <c r="K81" s="73"/>
      <c r="L81" s="56"/>
      <c r="M81" s="56"/>
      <c r="N81" s="56"/>
      <c r="O81" s="56"/>
      <c r="P81" s="73"/>
      <c r="Q81" s="104"/>
      <c r="R81" s="73"/>
      <c r="S81" s="73"/>
      <c r="T81" s="73"/>
      <c r="U81" s="56"/>
      <c r="V81" s="56"/>
      <c r="W81" s="73"/>
      <c r="X81" s="52"/>
      <c r="Y81" s="52"/>
      <c r="Z81" s="56"/>
      <c r="AA81" s="52"/>
      <c r="AB81" s="75"/>
      <c r="AC81" s="56"/>
      <c r="AD81" s="75"/>
      <c r="AE81" s="75"/>
      <c r="AF81" s="73"/>
      <c r="AG81" s="76"/>
      <c r="AH81" s="76"/>
      <c r="AI81" s="77"/>
      <c r="AJ81" s="52"/>
      <c r="AK81" s="78"/>
      <c r="AL81" s="98"/>
      <c r="AM81" s="98"/>
      <c r="AN81" s="107"/>
      <c r="AO81" s="107"/>
      <c r="AP81" s="98"/>
      <c r="AQ81" s="103"/>
      <c r="AR81" s="103"/>
      <c r="AS81" s="103"/>
      <c r="AT81" s="103"/>
      <c r="AU81" s="103"/>
      <c r="AV81" s="103"/>
      <c r="AW81" s="101"/>
      <c r="AX81" s="101"/>
    </row>
    <row r="82" spans="3:50" s="83" customFormat="1" ht="21" customHeight="1">
      <c r="C82" s="75"/>
      <c r="D82" s="53"/>
      <c r="E82" s="52"/>
      <c r="F82" s="52"/>
      <c r="G82" s="52"/>
      <c r="H82" s="73"/>
      <c r="I82" s="57"/>
      <c r="J82" s="73"/>
      <c r="K82" s="73"/>
      <c r="L82" s="56"/>
      <c r="M82" s="56"/>
      <c r="N82" s="56"/>
      <c r="O82" s="56"/>
      <c r="P82" s="73"/>
      <c r="Q82" s="104"/>
      <c r="R82" s="73"/>
      <c r="S82" s="73"/>
      <c r="T82" s="73"/>
      <c r="U82" s="56"/>
      <c r="V82" s="56"/>
      <c r="W82" s="73"/>
      <c r="X82" s="52"/>
      <c r="Y82" s="52"/>
      <c r="Z82" s="56"/>
      <c r="AA82" s="52"/>
      <c r="AB82" s="75"/>
      <c r="AC82" s="56"/>
      <c r="AD82" s="75"/>
      <c r="AE82" s="75"/>
      <c r="AF82" s="73"/>
      <c r="AG82" s="76"/>
      <c r="AH82" s="76"/>
      <c r="AI82" s="77"/>
      <c r="AJ82" s="52"/>
      <c r="AK82" s="78"/>
      <c r="AL82" s="98"/>
      <c r="AM82" s="98"/>
      <c r="AN82" s="107"/>
      <c r="AO82" s="107"/>
      <c r="AP82" s="98"/>
      <c r="AQ82" s="103"/>
      <c r="AR82" s="103"/>
      <c r="AS82" s="103"/>
      <c r="AT82" s="103"/>
      <c r="AU82" s="103"/>
      <c r="AV82" s="103"/>
      <c r="AW82" s="101"/>
      <c r="AX82" s="101"/>
    </row>
    <row r="83" spans="3:50" s="83" customFormat="1" ht="21" customHeight="1">
      <c r="C83" s="75"/>
      <c r="D83" s="53"/>
      <c r="E83" s="52"/>
      <c r="F83" s="52"/>
      <c r="G83" s="52"/>
      <c r="H83" s="73"/>
      <c r="I83" s="57"/>
      <c r="J83" s="73"/>
      <c r="K83" s="73"/>
      <c r="L83" s="56"/>
      <c r="M83" s="56"/>
      <c r="N83" s="56"/>
      <c r="O83" s="56"/>
      <c r="P83" s="73"/>
      <c r="Q83" s="104"/>
      <c r="R83" s="73"/>
      <c r="S83" s="73"/>
      <c r="T83" s="73"/>
      <c r="U83" s="56"/>
      <c r="V83" s="56"/>
      <c r="W83" s="73"/>
      <c r="X83" s="52"/>
      <c r="Y83" s="52"/>
      <c r="Z83" s="56"/>
      <c r="AA83" s="52"/>
      <c r="AB83" s="75"/>
      <c r="AC83" s="56"/>
      <c r="AD83" s="75"/>
      <c r="AE83" s="75"/>
      <c r="AF83" s="73"/>
      <c r="AG83" s="76"/>
      <c r="AH83" s="76"/>
      <c r="AI83" s="77"/>
      <c r="AJ83" s="52"/>
      <c r="AK83" s="78"/>
      <c r="AL83" s="98"/>
      <c r="AM83" s="98"/>
      <c r="AN83" s="107"/>
      <c r="AO83" s="107"/>
      <c r="AP83" s="98"/>
      <c r="AQ83" s="103"/>
      <c r="AR83" s="103"/>
      <c r="AS83" s="103"/>
      <c r="AT83" s="103"/>
      <c r="AU83" s="103"/>
      <c r="AV83" s="103"/>
      <c r="AW83" s="101"/>
      <c r="AX83" s="101"/>
    </row>
    <row r="84" spans="3:50" s="83" customFormat="1" ht="21" customHeight="1">
      <c r="C84" s="75"/>
      <c r="D84" s="53"/>
      <c r="E84" s="52"/>
      <c r="F84" s="52"/>
      <c r="G84" s="52"/>
      <c r="H84" s="73"/>
      <c r="I84" s="57"/>
      <c r="J84" s="73"/>
      <c r="K84" s="73"/>
      <c r="L84" s="56"/>
      <c r="M84" s="56"/>
      <c r="N84" s="56"/>
      <c r="O84" s="56"/>
      <c r="P84" s="73"/>
      <c r="Q84" s="104"/>
      <c r="R84" s="73"/>
      <c r="S84" s="73"/>
      <c r="T84" s="73"/>
      <c r="U84" s="56"/>
      <c r="V84" s="56"/>
      <c r="W84" s="73"/>
      <c r="X84" s="52"/>
      <c r="Y84" s="52"/>
      <c r="Z84" s="56"/>
      <c r="AA84" s="52"/>
      <c r="AB84" s="75"/>
      <c r="AC84" s="56"/>
      <c r="AD84" s="75"/>
      <c r="AE84" s="75"/>
      <c r="AF84" s="73"/>
      <c r="AG84" s="76"/>
      <c r="AH84" s="76"/>
      <c r="AI84" s="77"/>
      <c r="AJ84" s="52"/>
      <c r="AK84" s="78"/>
      <c r="AL84" s="98"/>
      <c r="AM84" s="98"/>
      <c r="AN84" s="107"/>
      <c r="AO84" s="107"/>
      <c r="AP84" s="98"/>
      <c r="AQ84" s="103"/>
      <c r="AR84" s="103"/>
      <c r="AS84" s="103"/>
      <c r="AT84" s="103"/>
      <c r="AU84" s="103"/>
      <c r="AV84" s="103"/>
      <c r="AW84" s="101"/>
      <c r="AX84" s="101"/>
    </row>
    <row r="85" spans="3:50" s="83" customFormat="1" ht="21" customHeight="1">
      <c r="C85" s="75"/>
      <c r="D85" s="53"/>
      <c r="E85" s="52"/>
      <c r="F85" s="52"/>
      <c r="G85" s="52"/>
      <c r="H85" s="73"/>
      <c r="I85" s="57"/>
      <c r="J85" s="73"/>
      <c r="K85" s="73"/>
      <c r="L85" s="56"/>
      <c r="M85" s="56"/>
      <c r="N85" s="56"/>
      <c r="O85" s="56"/>
      <c r="P85" s="73"/>
      <c r="Q85" s="104"/>
      <c r="R85" s="73"/>
      <c r="S85" s="73"/>
      <c r="T85" s="73"/>
      <c r="U85" s="56"/>
      <c r="V85" s="56"/>
      <c r="W85" s="73"/>
      <c r="X85" s="52"/>
      <c r="Y85" s="52"/>
      <c r="Z85" s="56"/>
      <c r="AA85" s="52"/>
      <c r="AB85" s="75"/>
      <c r="AC85" s="56"/>
      <c r="AD85" s="75"/>
      <c r="AE85" s="75"/>
      <c r="AF85" s="73"/>
      <c r="AG85" s="76"/>
      <c r="AH85" s="76"/>
      <c r="AI85" s="77"/>
      <c r="AJ85" s="52"/>
      <c r="AK85" s="78"/>
      <c r="AL85" s="98"/>
      <c r="AM85" s="98"/>
      <c r="AN85" s="107"/>
      <c r="AO85" s="107"/>
      <c r="AP85" s="98"/>
      <c r="AQ85" s="103"/>
      <c r="AR85" s="103"/>
      <c r="AS85" s="103"/>
      <c r="AT85" s="103"/>
      <c r="AU85" s="103"/>
      <c r="AV85" s="103"/>
      <c r="AW85" s="101"/>
      <c r="AX85" s="101"/>
    </row>
    <row r="86" spans="3:50" s="83" customFormat="1" ht="21" customHeight="1">
      <c r="C86" s="75"/>
      <c r="D86" s="53"/>
      <c r="E86" s="52"/>
      <c r="F86" s="52"/>
      <c r="G86" s="52"/>
      <c r="H86" s="73"/>
      <c r="I86" s="57"/>
      <c r="J86" s="73"/>
      <c r="K86" s="73"/>
      <c r="L86" s="56"/>
      <c r="M86" s="56"/>
      <c r="N86" s="56"/>
      <c r="O86" s="56"/>
      <c r="P86" s="73"/>
      <c r="Q86" s="104"/>
      <c r="R86" s="73"/>
      <c r="S86" s="73"/>
      <c r="T86" s="73"/>
      <c r="U86" s="56"/>
      <c r="V86" s="56"/>
      <c r="W86" s="73"/>
      <c r="X86" s="52"/>
      <c r="Y86" s="52"/>
      <c r="Z86" s="56"/>
      <c r="AA86" s="52"/>
      <c r="AB86" s="75"/>
      <c r="AC86" s="56"/>
      <c r="AD86" s="75"/>
      <c r="AE86" s="75"/>
      <c r="AF86" s="73"/>
      <c r="AG86" s="76"/>
      <c r="AH86" s="76"/>
      <c r="AI86" s="77"/>
      <c r="AJ86" s="52"/>
      <c r="AK86" s="78"/>
      <c r="AL86" s="98"/>
      <c r="AM86" s="98"/>
      <c r="AN86" s="107"/>
      <c r="AO86" s="107"/>
      <c r="AP86" s="98"/>
      <c r="AQ86" s="103"/>
      <c r="AR86" s="103"/>
      <c r="AS86" s="103"/>
      <c r="AT86" s="103"/>
      <c r="AU86" s="103"/>
      <c r="AV86" s="103"/>
      <c r="AW86" s="101"/>
      <c r="AX86" s="101"/>
    </row>
    <row r="87" spans="3:50" s="83" customFormat="1" ht="21" customHeight="1">
      <c r="C87" s="75"/>
      <c r="D87" s="53"/>
      <c r="E87" s="52"/>
      <c r="F87" s="52"/>
      <c r="G87" s="52"/>
      <c r="H87" s="73"/>
      <c r="I87" s="57"/>
      <c r="J87" s="73"/>
      <c r="K87" s="73"/>
      <c r="L87" s="56"/>
      <c r="M87" s="56"/>
      <c r="N87" s="56"/>
      <c r="O87" s="56"/>
      <c r="P87" s="73"/>
      <c r="Q87" s="104"/>
      <c r="R87" s="73"/>
      <c r="S87" s="73"/>
      <c r="T87" s="73"/>
      <c r="U87" s="56"/>
      <c r="V87" s="56"/>
      <c r="W87" s="73"/>
      <c r="X87" s="52"/>
      <c r="Y87" s="52"/>
      <c r="Z87" s="56"/>
      <c r="AA87" s="52"/>
      <c r="AB87" s="75"/>
      <c r="AC87" s="56"/>
      <c r="AD87" s="75"/>
      <c r="AE87" s="75"/>
      <c r="AF87" s="73"/>
      <c r="AG87" s="76"/>
      <c r="AH87" s="76"/>
      <c r="AI87" s="77"/>
      <c r="AJ87" s="52"/>
      <c r="AK87" s="78"/>
      <c r="AL87" s="98"/>
      <c r="AM87" s="98"/>
      <c r="AN87" s="107"/>
      <c r="AO87" s="107"/>
      <c r="AP87" s="98"/>
      <c r="AQ87" s="103"/>
      <c r="AR87" s="103"/>
      <c r="AS87" s="103"/>
      <c r="AT87" s="103"/>
      <c r="AU87" s="103"/>
      <c r="AV87" s="103"/>
      <c r="AW87" s="101"/>
      <c r="AX87" s="101"/>
    </row>
    <row r="88" spans="3:50" s="83" customFormat="1" ht="21" customHeight="1">
      <c r="C88" s="75"/>
      <c r="D88" s="53"/>
      <c r="E88" s="52"/>
      <c r="F88" s="52"/>
      <c r="G88" s="52"/>
      <c r="H88" s="73"/>
      <c r="I88" s="57"/>
      <c r="J88" s="73"/>
      <c r="K88" s="73"/>
      <c r="L88" s="56"/>
      <c r="M88" s="56"/>
      <c r="N88" s="56"/>
      <c r="O88" s="56"/>
      <c r="P88" s="73"/>
      <c r="Q88" s="104"/>
      <c r="R88" s="73"/>
      <c r="S88" s="73"/>
      <c r="T88" s="73"/>
      <c r="U88" s="56"/>
      <c r="V88" s="56"/>
      <c r="W88" s="73"/>
      <c r="X88" s="52"/>
      <c r="Y88" s="52"/>
      <c r="Z88" s="56"/>
      <c r="AA88" s="52"/>
      <c r="AB88" s="75"/>
      <c r="AC88" s="56"/>
      <c r="AD88" s="75"/>
      <c r="AE88" s="75"/>
      <c r="AF88" s="73"/>
      <c r="AG88" s="76"/>
      <c r="AH88" s="76"/>
      <c r="AI88" s="77"/>
      <c r="AJ88" s="52"/>
      <c r="AK88" s="78"/>
      <c r="AL88" s="98"/>
      <c r="AM88" s="98"/>
      <c r="AN88" s="107"/>
      <c r="AO88" s="107"/>
      <c r="AP88" s="98"/>
      <c r="AQ88" s="103"/>
      <c r="AR88" s="103"/>
      <c r="AS88" s="103"/>
      <c r="AT88" s="103"/>
      <c r="AU88" s="103"/>
      <c r="AV88" s="103"/>
      <c r="AW88" s="101"/>
      <c r="AX88" s="101"/>
    </row>
    <row r="89" spans="3:50" s="83" customFormat="1" ht="21" customHeight="1">
      <c r="C89" s="75"/>
      <c r="D89" s="53"/>
      <c r="E89" s="52"/>
      <c r="F89" s="52"/>
      <c r="G89" s="52"/>
      <c r="H89" s="73"/>
      <c r="I89" s="57"/>
      <c r="J89" s="73"/>
      <c r="K89" s="73"/>
      <c r="L89" s="56"/>
      <c r="M89" s="56"/>
      <c r="N89" s="56"/>
      <c r="O89" s="56"/>
      <c r="P89" s="73"/>
      <c r="Q89" s="104"/>
      <c r="R89" s="73"/>
      <c r="S89" s="73"/>
      <c r="T89" s="73"/>
      <c r="U89" s="56"/>
      <c r="V89" s="56"/>
      <c r="W89" s="73"/>
      <c r="X89" s="52"/>
      <c r="Y89" s="52"/>
      <c r="Z89" s="56"/>
      <c r="AA89" s="52"/>
      <c r="AB89" s="75"/>
      <c r="AC89" s="56"/>
      <c r="AD89" s="75"/>
      <c r="AE89" s="75"/>
      <c r="AF89" s="73"/>
      <c r="AG89" s="76"/>
      <c r="AH89" s="76"/>
      <c r="AI89" s="77"/>
      <c r="AJ89" s="52"/>
      <c r="AK89" s="78"/>
      <c r="AL89" s="98"/>
      <c r="AM89" s="98"/>
      <c r="AN89" s="107"/>
      <c r="AO89" s="107"/>
      <c r="AP89" s="98"/>
      <c r="AQ89" s="103"/>
      <c r="AR89" s="103"/>
      <c r="AS89" s="103"/>
      <c r="AT89" s="103"/>
      <c r="AU89" s="103"/>
      <c r="AV89" s="103"/>
      <c r="AW89" s="101"/>
      <c r="AX89" s="101"/>
    </row>
    <row r="90" spans="3:50" s="83" customFormat="1" ht="21" customHeight="1">
      <c r="C90" s="75"/>
      <c r="D90" s="53"/>
      <c r="E90" s="52"/>
      <c r="F90" s="52"/>
      <c r="G90" s="52"/>
      <c r="H90" s="73"/>
      <c r="I90" s="57"/>
      <c r="J90" s="73"/>
      <c r="K90" s="73"/>
      <c r="L90" s="56"/>
      <c r="M90" s="56"/>
      <c r="N90" s="56"/>
      <c r="O90" s="56"/>
      <c r="P90" s="73"/>
      <c r="Q90" s="104"/>
      <c r="R90" s="73"/>
      <c r="S90" s="73"/>
      <c r="T90" s="73"/>
      <c r="U90" s="56"/>
      <c r="V90" s="56"/>
      <c r="W90" s="73"/>
      <c r="X90" s="52"/>
      <c r="Y90" s="52"/>
      <c r="Z90" s="56"/>
      <c r="AA90" s="52"/>
      <c r="AB90" s="75"/>
      <c r="AC90" s="56"/>
      <c r="AD90" s="75"/>
      <c r="AE90" s="75"/>
      <c r="AF90" s="73"/>
      <c r="AG90" s="76"/>
      <c r="AH90" s="76"/>
      <c r="AI90" s="77"/>
      <c r="AJ90" s="52"/>
      <c r="AK90" s="78"/>
      <c r="AL90" s="98"/>
      <c r="AM90" s="98"/>
      <c r="AN90" s="107"/>
      <c r="AO90" s="107"/>
      <c r="AP90" s="98"/>
      <c r="AQ90" s="103"/>
      <c r="AR90" s="103"/>
      <c r="AS90" s="103"/>
      <c r="AT90" s="103"/>
      <c r="AU90" s="103"/>
      <c r="AV90" s="103"/>
      <c r="AW90" s="101"/>
      <c r="AX90" s="101"/>
    </row>
    <row r="91" spans="3:50" s="83" customFormat="1" ht="21" customHeight="1">
      <c r="C91" s="75"/>
      <c r="D91" s="53"/>
      <c r="E91" s="52"/>
      <c r="F91" s="52"/>
      <c r="G91" s="52"/>
      <c r="H91" s="73"/>
      <c r="I91" s="57"/>
      <c r="J91" s="73"/>
      <c r="K91" s="73"/>
      <c r="L91" s="56"/>
      <c r="M91" s="56"/>
      <c r="N91" s="56"/>
      <c r="O91" s="56"/>
      <c r="P91" s="73"/>
      <c r="Q91" s="104"/>
      <c r="R91" s="73"/>
      <c r="S91" s="73"/>
      <c r="T91" s="73"/>
      <c r="U91" s="56"/>
      <c r="V91" s="56"/>
      <c r="W91" s="73"/>
      <c r="X91" s="52"/>
      <c r="Y91" s="52"/>
      <c r="Z91" s="56"/>
      <c r="AA91" s="52"/>
      <c r="AB91" s="75"/>
      <c r="AC91" s="56"/>
      <c r="AD91" s="75"/>
      <c r="AE91" s="75"/>
      <c r="AF91" s="73"/>
      <c r="AG91" s="76"/>
      <c r="AH91" s="76"/>
      <c r="AI91" s="77"/>
      <c r="AJ91" s="52"/>
      <c r="AK91" s="78"/>
      <c r="AL91" s="98"/>
      <c r="AM91" s="98"/>
      <c r="AN91" s="107"/>
      <c r="AO91" s="107"/>
      <c r="AP91" s="98"/>
      <c r="AQ91" s="103"/>
      <c r="AR91" s="103"/>
      <c r="AS91" s="103"/>
      <c r="AT91" s="103"/>
      <c r="AU91" s="103"/>
      <c r="AV91" s="103"/>
      <c r="AW91" s="101"/>
      <c r="AX91" s="101"/>
    </row>
    <row r="92" spans="3:50" s="83" customFormat="1" ht="21" customHeight="1">
      <c r="C92" s="75"/>
      <c r="D92" s="53"/>
      <c r="E92" s="52"/>
      <c r="F92" s="52"/>
      <c r="G92" s="52"/>
      <c r="H92" s="73"/>
      <c r="I92" s="57"/>
      <c r="J92" s="73"/>
      <c r="K92" s="73"/>
      <c r="L92" s="56"/>
      <c r="M92" s="56"/>
      <c r="N92" s="56"/>
      <c r="O92" s="56"/>
      <c r="P92" s="73"/>
      <c r="Q92" s="104"/>
      <c r="R92" s="73"/>
      <c r="S92" s="73"/>
      <c r="T92" s="73"/>
      <c r="U92" s="56"/>
      <c r="V92" s="56"/>
      <c r="W92" s="73"/>
      <c r="X92" s="52"/>
      <c r="Y92" s="52"/>
      <c r="Z92" s="56"/>
      <c r="AA92" s="52"/>
      <c r="AB92" s="75"/>
      <c r="AC92" s="56"/>
      <c r="AD92" s="75"/>
      <c r="AE92" s="75"/>
      <c r="AF92" s="73"/>
      <c r="AG92" s="76"/>
      <c r="AH92" s="76"/>
      <c r="AI92" s="77"/>
      <c r="AJ92" s="52"/>
      <c r="AK92" s="78"/>
      <c r="AL92" s="98"/>
      <c r="AM92" s="98"/>
      <c r="AN92" s="107"/>
      <c r="AO92" s="107"/>
      <c r="AP92" s="98"/>
      <c r="AQ92" s="103"/>
      <c r="AR92" s="103"/>
      <c r="AS92" s="103"/>
      <c r="AT92" s="103"/>
      <c r="AU92" s="103"/>
      <c r="AV92" s="103"/>
      <c r="AW92" s="101"/>
      <c r="AX92" s="101"/>
    </row>
    <row r="93" spans="3:50" s="83" customFormat="1" ht="21" customHeight="1">
      <c r="C93" s="75"/>
      <c r="D93" s="53"/>
      <c r="E93" s="52"/>
      <c r="F93" s="52"/>
      <c r="G93" s="52"/>
      <c r="H93" s="73"/>
      <c r="I93" s="57"/>
      <c r="J93" s="73"/>
      <c r="K93" s="73"/>
      <c r="L93" s="56"/>
      <c r="M93" s="56"/>
      <c r="N93" s="56"/>
      <c r="O93" s="56"/>
      <c r="P93" s="73"/>
      <c r="Q93" s="104"/>
      <c r="R93" s="73"/>
      <c r="S93" s="73"/>
      <c r="T93" s="73"/>
      <c r="U93" s="56"/>
      <c r="V93" s="56"/>
      <c r="W93" s="73"/>
      <c r="X93" s="52"/>
      <c r="Y93" s="52"/>
      <c r="Z93" s="56"/>
      <c r="AA93" s="52"/>
      <c r="AB93" s="75"/>
      <c r="AC93" s="56"/>
      <c r="AD93" s="75"/>
      <c r="AE93" s="75"/>
      <c r="AF93" s="73"/>
      <c r="AG93" s="76"/>
      <c r="AH93" s="76"/>
      <c r="AI93" s="77"/>
      <c r="AJ93" s="52"/>
      <c r="AK93" s="78"/>
      <c r="AL93" s="98"/>
      <c r="AM93" s="98"/>
      <c r="AN93" s="107"/>
      <c r="AO93" s="107"/>
      <c r="AP93" s="98"/>
      <c r="AQ93" s="103"/>
      <c r="AR93" s="103"/>
      <c r="AS93" s="103"/>
      <c r="AT93" s="103"/>
      <c r="AU93" s="103"/>
      <c r="AV93" s="103"/>
      <c r="AW93" s="101"/>
      <c r="AX93" s="101"/>
    </row>
    <row r="94" spans="3:50" s="83" customFormat="1" ht="21" customHeight="1">
      <c r="C94" s="75"/>
      <c r="D94" s="53"/>
      <c r="E94" s="52"/>
      <c r="F94" s="52"/>
      <c r="G94" s="52"/>
      <c r="H94" s="73"/>
      <c r="I94" s="57"/>
      <c r="J94" s="73"/>
      <c r="K94" s="73"/>
      <c r="L94" s="56"/>
      <c r="M94" s="56"/>
      <c r="N94" s="56"/>
      <c r="O94" s="56"/>
      <c r="P94" s="73"/>
      <c r="Q94" s="104"/>
      <c r="R94" s="73"/>
      <c r="S94" s="73"/>
      <c r="T94" s="73"/>
      <c r="U94" s="56"/>
      <c r="V94" s="56"/>
      <c r="W94" s="73"/>
      <c r="X94" s="52"/>
      <c r="Y94" s="52"/>
      <c r="Z94" s="56"/>
      <c r="AA94" s="52"/>
      <c r="AB94" s="75"/>
      <c r="AC94" s="56"/>
      <c r="AD94" s="75"/>
      <c r="AE94" s="75"/>
      <c r="AF94" s="73"/>
      <c r="AG94" s="76"/>
      <c r="AH94" s="76"/>
      <c r="AI94" s="77"/>
      <c r="AJ94" s="52"/>
      <c r="AK94" s="78"/>
      <c r="AL94" s="98"/>
      <c r="AM94" s="98"/>
      <c r="AN94" s="107"/>
      <c r="AO94" s="107"/>
      <c r="AP94" s="98"/>
      <c r="AQ94" s="103"/>
      <c r="AR94" s="103"/>
      <c r="AS94" s="103"/>
      <c r="AT94" s="103"/>
      <c r="AU94" s="103"/>
      <c r="AV94" s="103"/>
      <c r="AW94" s="101"/>
      <c r="AX94" s="101"/>
    </row>
    <row r="95" spans="3:50" s="83" customFormat="1" ht="21" customHeight="1">
      <c r="C95" s="75"/>
      <c r="D95" s="53"/>
      <c r="E95" s="52"/>
      <c r="F95" s="52"/>
      <c r="G95" s="52"/>
      <c r="H95" s="73"/>
      <c r="I95" s="57"/>
      <c r="J95" s="73"/>
      <c r="K95" s="73"/>
      <c r="L95" s="56"/>
      <c r="M95" s="56"/>
      <c r="N95" s="56"/>
      <c r="O95" s="56"/>
      <c r="P95" s="73"/>
      <c r="Q95" s="104"/>
      <c r="R95" s="73"/>
      <c r="S95" s="73"/>
      <c r="T95" s="73"/>
      <c r="U95" s="56"/>
      <c r="V95" s="56"/>
      <c r="W95" s="73"/>
      <c r="X95" s="52"/>
      <c r="Y95" s="52"/>
      <c r="Z95" s="56"/>
      <c r="AA95" s="52"/>
      <c r="AB95" s="75"/>
      <c r="AC95" s="56"/>
      <c r="AD95" s="75"/>
      <c r="AE95" s="75"/>
      <c r="AF95" s="73"/>
      <c r="AG95" s="76"/>
      <c r="AH95" s="76"/>
      <c r="AI95" s="77"/>
      <c r="AJ95" s="52"/>
      <c r="AK95" s="78"/>
      <c r="AL95" s="98"/>
      <c r="AM95" s="98"/>
      <c r="AN95" s="107"/>
      <c r="AO95" s="107"/>
      <c r="AP95" s="98"/>
      <c r="AQ95" s="103"/>
      <c r="AR95" s="103"/>
      <c r="AS95" s="103"/>
      <c r="AT95" s="103"/>
      <c r="AU95" s="103"/>
      <c r="AV95" s="103"/>
      <c r="AW95" s="101"/>
      <c r="AX95" s="101"/>
    </row>
    <row r="96" spans="3:50" s="83" customFormat="1" ht="21" customHeight="1">
      <c r="C96" s="75"/>
      <c r="D96" s="53"/>
      <c r="E96" s="52"/>
      <c r="F96" s="52"/>
      <c r="G96" s="52"/>
      <c r="H96" s="73"/>
      <c r="I96" s="57"/>
      <c r="J96" s="73"/>
      <c r="K96" s="73"/>
      <c r="L96" s="56"/>
      <c r="M96" s="56"/>
      <c r="N96" s="56"/>
      <c r="O96" s="56"/>
      <c r="P96" s="73"/>
      <c r="Q96" s="104"/>
      <c r="R96" s="73"/>
      <c r="S96" s="73"/>
      <c r="T96" s="73"/>
      <c r="U96" s="56"/>
      <c r="V96" s="56"/>
      <c r="W96" s="73"/>
      <c r="X96" s="52"/>
      <c r="Y96" s="52"/>
      <c r="Z96" s="56"/>
      <c r="AA96" s="52"/>
      <c r="AB96" s="75"/>
      <c r="AC96" s="56"/>
      <c r="AD96" s="75"/>
      <c r="AE96" s="75"/>
      <c r="AF96" s="73"/>
      <c r="AG96" s="76"/>
      <c r="AH96" s="76"/>
      <c r="AI96" s="77"/>
      <c r="AJ96" s="52"/>
      <c r="AK96" s="78"/>
      <c r="AL96" s="98"/>
      <c r="AM96" s="98"/>
      <c r="AN96" s="107"/>
      <c r="AO96" s="107"/>
      <c r="AP96" s="98"/>
      <c r="AQ96" s="103"/>
      <c r="AR96" s="103"/>
      <c r="AS96" s="103"/>
      <c r="AT96" s="103"/>
      <c r="AU96" s="103"/>
      <c r="AV96" s="103"/>
      <c r="AW96" s="101"/>
      <c r="AX96" s="101"/>
    </row>
    <row r="97" spans="3:50" s="83" customFormat="1" ht="21" customHeight="1">
      <c r="C97" s="75"/>
      <c r="D97" s="53"/>
      <c r="E97" s="52"/>
      <c r="F97" s="52"/>
      <c r="G97" s="52"/>
      <c r="H97" s="73"/>
      <c r="I97" s="57"/>
      <c r="J97" s="73"/>
      <c r="K97" s="73"/>
      <c r="L97" s="56"/>
      <c r="M97" s="56"/>
      <c r="N97" s="56"/>
      <c r="O97" s="56"/>
      <c r="P97" s="73"/>
      <c r="Q97" s="104"/>
      <c r="R97" s="73"/>
      <c r="S97" s="73"/>
      <c r="T97" s="73"/>
      <c r="U97" s="56"/>
      <c r="V97" s="56"/>
      <c r="W97" s="73"/>
      <c r="X97" s="52"/>
      <c r="Y97" s="52"/>
      <c r="Z97" s="56"/>
      <c r="AA97" s="52"/>
      <c r="AB97" s="75"/>
      <c r="AC97" s="56"/>
      <c r="AD97" s="75"/>
      <c r="AE97" s="75"/>
      <c r="AF97" s="73"/>
      <c r="AG97" s="76"/>
      <c r="AH97" s="76"/>
      <c r="AI97" s="77"/>
      <c r="AJ97" s="52"/>
      <c r="AK97" s="78"/>
      <c r="AL97" s="98"/>
      <c r="AM97" s="98"/>
      <c r="AN97" s="107"/>
      <c r="AO97" s="107"/>
      <c r="AP97" s="98"/>
      <c r="AQ97" s="103"/>
      <c r="AR97" s="103"/>
      <c r="AS97" s="103"/>
      <c r="AT97" s="103"/>
      <c r="AU97" s="103"/>
      <c r="AV97" s="103"/>
      <c r="AW97" s="101"/>
      <c r="AX97" s="101"/>
    </row>
    <row r="98" spans="3:50" s="83" customFormat="1" ht="21" customHeight="1">
      <c r="C98" s="75"/>
      <c r="D98" s="53"/>
      <c r="E98" s="52"/>
      <c r="F98" s="52"/>
      <c r="G98" s="52"/>
      <c r="H98" s="73"/>
      <c r="I98" s="57"/>
      <c r="J98" s="73"/>
      <c r="K98" s="73"/>
      <c r="L98" s="56"/>
      <c r="M98" s="56"/>
      <c r="N98" s="56"/>
      <c r="O98" s="56"/>
      <c r="P98" s="73"/>
      <c r="Q98" s="104"/>
      <c r="R98" s="73"/>
      <c r="S98" s="73"/>
      <c r="T98" s="73"/>
      <c r="U98" s="56"/>
      <c r="V98" s="56"/>
      <c r="W98" s="73"/>
      <c r="X98" s="52"/>
      <c r="Y98" s="52"/>
      <c r="Z98" s="56"/>
      <c r="AA98" s="52"/>
      <c r="AB98" s="75"/>
      <c r="AC98" s="56"/>
      <c r="AD98" s="75"/>
      <c r="AE98" s="75"/>
      <c r="AF98" s="73"/>
      <c r="AG98" s="76"/>
      <c r="AH98" s="76"/>
      <c r="AI98" s="77"/>
      <c r="AJ98" s="52"/>
      <c r="AK98" s="78"/>
      <c r="AL98" s="98"/>
      <c r="AM98" s="98"/>
      <c r="AN98" s="107"/>
      <c r="AO98" s="107"/>
      <c r="AP98" s="98"/>
      <c r="AQ98" s="103"/>
      <c r="AR98" s="103"/>
      <c r="AS98" s="103"/>
      <c r="AT98" s="103"/>
      <c r="AU98" s="103"/>
      <c r="AV98" s="103"/>
      <c r="AW98" s="101"/>
      <c r="AX98" s="101"/>
    </row>
    <row r="99" spans="3:50" s="83" customFormat="1" ht="21" customHeight="1">
      <c r="C99" s="75"/>
      <c r="D99" s="53"/>
      <c r="E99" s="52"/>
      <c r="F99" s="52"/>
      <c r="G99" s="52"/>
      <c r="H99" s="73"/>
      <c r="I99" s="57"/>
      <c r="J99" s="73"/>
      <c r="K99" s="73"/>
      <c r="L99" s="56"/>
      <c r="M99" s="56"/>
      <c r="N99" s="56"/>
      <c r="O99" s="56"/>
      <c r="P99" s="73"/>
      <c r="Q99" s="104"/>
      <c r="R99" s="73"/>
      <c r="S99" s="73"/>
      <c r="T99" s="73"/>
      <c r="U99" s="56"/>
      <c r="V99" s="56"/>
      <c r="W99" s="73"/>
      <c r="X99" s="52"/>
      <c r="Y99" s="52"/>
      <c r="Z99" s="56"/>
      <c r="AA99" s="52"/>
      <c r="AB99" s="75"/>
      <c r="AC99" s="56"/>
      <c r="AD99" s="75"/>
      <c r="AE99" s="75"/>
      <c r="AF99" s="73"/>
      <c r="AG99" s="76"/>
      <c r="AH99" s="76"/>
      <c r="AI99" s="77"/>
      <c r="AJ99" s="52"/>
      <c r="AK99" s="78"/>
      <c r="AL99" s="98"/>
      <c r="AM99" s="98"/>
      <c r="AN99" s="107"/>
      <c r="AO99" s="107"/>
      <c r="AP99" s="98"/>
      <c r="AQ99" s="103"/>
      <c r="AR99" s="103"/>
      <c r="AS99" s="103"/>
      <c r="AT99" s="103"/>
      <c r="AU99" s="103"/>
      <c r="AV99" s="103"/>
      <c r="AW99" s="101"/>
      <c r="AX99" s="101"/>
    </row>
    <row r="100" spans="3:50" s="83" customFormat="1" ht="21" customHeight="1">
      <c r="C100" s="75"/>
      <c r="D100" s="53"/>
      <c r="E100" s="52"/>
      <c r="F100" s="52"/>
      <c r="G100" s="52"/>
      <c r="H100" s="73"/>
      <c r="I100" s="57"/>
      <c r="J100" s="73"/>
      <c r="K100" s="73"/>
      <c r="L100" s="56"/>
      <c r="M100" s="56"/>
      <c r="N100" s="56"/>
      <c r="O100" s="56"/>
      <c r="P100" s="73"/>
      <c r="Q100" s="104"/>
      <c r="R100" s="73"/>
      <c r="S100" s="73"/>
      <c r="T100" s="73"/>
      <c r="U100" s="56"/>
      <c r="V100" s="56"/>
      <c r="W100" s="73"/>
      <c r="X100" s="52"/>
      <c r="Y100" s="52"/>
      <c r="Z100" s="56"/>
      <c r="AA100" s="52"/>
      <c r="AB100" s="75"/>
      <c r="AC100" s="56"/>
      <c r="AD100" s="75"/>
      <c r="AE100" s="75"/>
      <c r="AF100" s="73"/>
      <c r="AG100" s="76"/>
      <c r="AH100" s="76"/>
      <c r="AI100" s="77"/>
      <c r="AJ100" s="52"/>
      <c r="AK100" s="78"/>
      <c r="AL100" s="98"/>
      <c r="AM100" s="98"/>
      <c r="AN100" s="107"/>
      <c r="AO100" s="107"/>
      <c r="AP100" s="98"/>
      <c r="AQ100" s="103"/>
      <c r="AR100" s="103"/>
      <c r="AS100" s="103"/>
      <c r="AT100" s="103"/>
      <c r="AU100" s="103"/>
      <c r="AV100" s="103"/>
      <c r="AW100" s="101"/>
      <c r="AX100" s="101"/>
    </row>
    <row r="101" spans="3:50" s="83" customFormat="1" ht="21" customHeight="1">
      <c r="C101" s="75"/>
      <c r="D101" s="53"/>
      <c r="E101" s="52"/>
      <c r="F101" s="52"/>
      <c r="G101" s="52"/>
      <c r="H101" s="73"/>
      <c r="I101" s="57"/>
      <c r="J101" s="73"/>
      <c r="K101" s="73"/>
      <c r="L101" s="56"/>
      <c r="M101" s="56"/>
      <c r="N101" s="56"/>
      <c r="O101" s="56"/>
      <c r="P101" s="73"/>
      <c r="Q101" s="104"/>
      <c r="R101" s="73"/>
      <c r="S101" s="73"/>
      <c r="T101" s="73"/>
      <c r="U101" s="56"/>
      <c r="V101" s="56"/>
      <c r="W101" s="73"/>
      <c r="X101" s="52"/>
      <c r="Y101" s="52"/>
      <c r="Z101" s="56"/>
      <c r="AA101" s="52"/>
      <c r="AB101" s="75"/>
      <c r="AC101" s="56"/>
      <c r="AD101" s="75"/>
      <c r="AE101" s="75"/>
      <c r="AF101" s="73"/>
      <c r="AG101" s="76"/>
      <c r="AH101" s="76"/>
      <c r="AI101" s="77"/>
      <c r="AJ101" s="52"/>
      <c r="AK101" s="78"/>
      <c r="AL101" s="98"/>
      <c r="AM101" s="98"/>
      <c r="AN101" s="107"/>
      <c r="AO101" s="107"/>
      <c r="AP101" s="98"/>
      <c r="AQ101" s="103"/>
      <c r="AR101" s="103"/>
      <c r="AS101" s="103"/>
      <c r="AT101" s="103"/>
      <c r="AU101" s="103"/>
      <c r="AV101" s="103"/>
      <c r="AW101" s="101"/>
      <c r="AX101" s="101"/>
    </row>
    <row r="102" spans="3:50" s="83" customFormat="1" ht="21" customHeight="1">
      <c r="C102" s="75"/>
      <c r="D102" s="53"/>
      <c r="E102" s="52"/>
      <c r="F102" s="52"/>
      <c r="G102" s="52"/>
      <c r="H102" s="73"/>
      <c r="I102" s="57"/>
      <c r="J102" s="73"/>
      <c r="K102" s="73"/>
      <c r="L102" s="56"/>
      <c r="M102" s="56"/>
      <c r="N102" s="56"/>
      <c r="O102" s="56"/>
      <c r="P102" s="73"/>
      <c r="Q102" s="104"/>
      <c r="R102" s="73"/>
      <c r="S102" s="73"/>
      <c r="T102" s="73"/>
      <c r="U102" s="56"/>
      <c r="V102" s="56"/>
      <c r="W102" s="73"/>
      <c r="X102" s="52"/>
      <c r="Y102" s="52"/>
      <c r="Z102" s="56"/>
      <c r="AA102" s="52"/>
      <c r="AB102" s="75"/>
      <c r="AC102" s="56"/>
      <c r="AD102" s="75"/>
      <c r="AE102" s="75"/>
      <c r="AF102" s="73"/>
      <c r="AG102" s="76"/>
      <c r="AH102" s="76"/>
      <c r="AI102" s="77"/>
      <c r="AJ102" s="52"/>
      <c r="AK102" s="78"/>
      <c r="AL102" s="98"/>
      <c r="AM102" s="98"/>
      <c r="AN102" s="107"/>
      <c r="AO102" s="107"/>
      <c r="AP102" s="98"/>
      <c r="AQ102" s="103"/>
      <c r="AR102" s="103"/>
      <c r="AS102" s="103"/>
      <c r="AT102" s="103"/>
      <c r="AU102" s="103"/>
      <c r="AV102" s="103"/>
      <c r="AW102" s="101"/>
      <c r="AX102" s="101"/>
    </row>
    <row r="103" spans="3:50" s="83" customFormat="1" ht="21" customHeight="1">
      <c r="C103" s="75"/>
      <c r="D103" s="53"/>
      <c r="E103" s="52"/>
      <c r="F103" s="52"/>
      <c r="G103" s="52"/>
      <c r="H103" s="73"/>
      <c r="I103" s="57"/>
      <c r="J103" s="73"/>
      <c r="K103" s="73"/>
      <c r="L103" s="56"/>
      <c r="M103" s="56"/>
      <c r="N103" s="56"/>
      <c r="O103" s="56"/>
      <c r="P103" s="73"/>
      <c r="Q103" s="104"/>
      <c r="R103" s="73"/>
      <c r="S103" s="73"/>
      <c r="T103" s="73"/>
      <c r="U103" s="56"/>
      <c r="V103" s="56"/>
      <c r="W103" s="73"/>
      <c r="X103" s="52"/>
      <c r="Y103" s="52"/>
      <c r="Z103" s="56"/>
      <c r="AA103" s="52"/>
      <c r="AB103" s="75"/>
      <c r="AC103" s="56"/>
      <c r="AD103" s="75"/>
      <c r="AE103" s="75"/>
      <c r="AF103" s="73"/>
      <c r="AG103" s="76"/>
      <c r="AH103" s="76"/>
      <c r="AI103" s="77"/>
      <c r="AJ103" s="52"/>
      <c r="AK103" s="78"/>
      <c r="AL103" s="98"/>
      <c r="AM103" s="98"/>
      <c r="AN103" s="107"/>
      <c r="AO103" s="107"/>
      <c r="AP103" s="98"/>
      <c r="AQ103" s="103"/>
      <c r="AR103" s="103"/>
      <c r="AS103" s="103"/>
      <c r="AT103" s="103"/>
      <c r="AU103" s="103"/>
      <c r="AV103" s="103"/>
      <c r="AW103" s="101"/>
      <c r="AX103" s="101"/>
    </row>
    <row r="104" spans="3:50" s="83" customFormat="1" ht="21" customHeight="1">
      <c r="C104" s="75"/>
      <c r="D104" s="53"/>
      <c r="E104" s="52"/>
      <c r="F104" s="52"/>
      <c r="G104" s="52"/>
      <c r="H104" s="73"/>
      <c r="I104" s="57"/>
      <c r="J104" s="73"/>
      <c r="K104" s="73"/>
      <c r="L104" s="56"/>
      <c r="M104" s="56"/>
      <c r="N104" s="56"/>
      <c r="O104" s="56"/>
      <c r="P104" s="73"/>
      <c r="Q104" s="104"/>
      <c r="R104" s="73"/>
      <c r="S104" s="73"/>
      <c r="T104" s="73"/>
      <c r="U104" s="56"/>
      <c r="V104" s="56"/>
      <c r="W104" s="73"/>
      <c r="X104" s="52"/>
      <c r="Y104" s="52"/>
      <c r="Z104" s="56"/>
      <c r="AA104" s="52"/>
      <c r="AB104" s="75"/>
      <c r="AC104" s="56"/>
      <c r="AD104" s="75"/>
      <c r="AE104" s="75"/>
      <c r="AF104" s="73"/>
      <c r="AG104" s="76"/>
      <c r="AH104" s="76"/>
      <c r="AI104" s="77"/>
      <c r="AJ104" s="52"/>
      <c r="AK104" s="78"/>
      <c r="AL104" s="98"/>
      <c r="AM104" s="98"/>
      <c r="AN104" s="107"/>
      <c r="AO104" s="107"/>
      <c r="AP104" s="98"/>
      <c r="AQ104" s="103"/>
      <c r="AR104" s="103"/>
      <c r="AS104" s="103"/>
      <c r="AT104" s="103"/>
      <c r="AU104" s="103"/>
      <c r="AV104" s="103"/>
      <c r="AW104" s="101"/>
      <c r="AX104" s="101"/>
    </row>
    <row r="105" spans="3:50" s="83" customFormat="1" ht="21" customHeight="1">
      <c r="C105" s="75"/>
      <c r="D105" s="53"/>
      <c r="E105" s="52"/>
      <c r="F105" s="52"/>
      <c r="G105" s="52"/>
      <c r="H105" s="73"/>
      <c r="I105" s="57"/>
      <c r="J105" s="73"/>
      <c r="K105" s="73"/>
      <c r="L105" s="56"/>
      <c r="M105" s="56"/>
      <c r="N105" s="56"/>
      <c r="O105" s="56"/>
      <c r="P105" s="73"/>
      <c r="Q105" s="104"/>
      <c r="R105" s="73"/>
      <c r="S105" s="73"/>
      <c r="T105" s="73"/>
      <c r="U105" s="56"/>
      <c r="V105" s="56"/>
      <c r="W105" s="73"/>
      <c r="X105" s="52"/>
      <c r="Y105" s="52"/>
      <c r="Z105" s="56"/>
      <c r="AA105" s="52"/>
      <c r="AB105" s="75"/>
      <c r="AC105" s="56"/>
      <c r="AD105" s="75"/>
      <c r="AE105" s="75"/>
      <c r="AF105" s="73"/>
      <c r="AG105" s="76"/>
      <c r="AH105" s="76"/>
      <c r="AI105" s="77"/>
      <c r="AJ105" s="52"/>
      <c r="AK105" s="78"/>
      <c r="AL105" s="98"/>
      <c r="AM105" s="98"/>
      <c r="AN105" s="107"/>
      <c r="AO105" s="107"/>
      <c r="AP105" s="98"/>
      <c r="AQ105" s="103"/>
      <c r="AR105" s="103"/>
      <c r="AS105" s="103"/>
      <c r="AT105" s="103"/>
      <c r="AU105" s="103"/>
      <c r="AV105" s="103"/>
      <c r="AW105" s="101"/>
      <c r="AX105" s="101"/>
    </row>
    <row r="106" spans="3:50" s="83" customFormat="1" ht="21" customHeight="1">
      <c r="C106" s="75"/>
      <c r="D106" s="53"/>
      <c r="E106" s="52"/>
      <c r="F106" s="52"/>
      <c r="G106" s="52"/>
      <c r="H106" s="73"/>
      <c r="I106" s="57"/>
      <c r="J106" s="73"/>
      <c r="K106" s="73"/>
      <c r="L106" s="56"/>
      <c r="M106" s="56"/>
      <c r="N106" s="56"/>
      <c r="O106" s="56"/>
      <c r="P106" s="73"/>
      <c r="Q106" s="104"/>
      <c r="R106" s="73"/>
      <c r="S106" s="73"/>
      <c r="T106" s="73"/>
      <c r="U106" s="56"/>
      <c r="V106" s="56"/>
      <c r="W106" s="73"/>
      <c r="X106" s="52"/>
      <c r="Y106" s="52"/>
      <c r="Z106" s="56"/>
      <c r="AA106" s="52"/>
      <c r="AB106" s="75"/>
      <c r="AC106" s="56"/>
      <c r="AD106" s="75"/>
      <c r="AE106" s="75"/>
      <c r="AF106" s="73"/>
      <c r="AG106" s="76"/>
      <c r="AH106" s="76"/>
      <c r="AI106" s="77"/>
      <c r="AJ106" s="52"/>
      <c r="AK106" s="78"/>
      <c r="AL106" s="98"/>
      <c r="AM106" s="98"/>
      <c r="AN106" s="107"/>
      <c r="AO106" s="107"/>
      <c r="AP106" s="98"/>
      <c r="AQ106" s="103"/>
      <c r="AR106" s="103"/>
      <c r="AS106" s="103"/>
      <c r="AT106" s="103"/>
      <c r="AU106" s="103"/>
      <c r="AV106" s="103"/>
      <c r="AW106" s="101"/>
      <c r="AX106" s="101"/>
    </row>
    <row r="107" spans="3:50" s="83" customFormat="1" ht="21" customHeight="1">
      <c r="C107" s="75"/>
      <c r="D107" s="53"/>
      <c r="E107" s="52"/>
      <c r="F107" s="52"/>
      <c r="G107" s="52"/>
      <c r="H107" s="73"/>
      <c r="I107" s="57"/>
      <c r="J107" s="73"/>
      <c r="K107" s="73"/>
      <c r="L107" s="56"/>
      <c r="M107" s="56"/>
      <c r="N107" s="56"/>
      <c r="O107" s="56"/>
      <c r="P107" s="73"/>
      <c r="Q107" s="104"/>
      <c r="R107" s="73"/>
      <c r="S107" s="73"/>
      <c r="T107" s="73"/>
      <c r="U107" s="56"/>
      <c r="V107" s="56"/>
      <c r="W107" s="73"/>
      <c r="X107" s="52"/>
      <c r="Y107" s="52"/>
      <c r="Z107" s="56"/>
      <c r="AA107" s="52"/>
      <c r="AB107" s="75"/>
      <c r="AC107" s="56"/>
      <c r="AD107" s="75"/>
      <c r="AE107" s="75"/>
      <c r="AF107" s="73"/>
      <c r="AG107" s="76"/>
      <c r="AH107" s="76"/>
      <c r="AI107" s="77"/>
      <c r="AJ107" s="52"/>
      <c r="AK107" s="78"/>
      <c r="AL107" s="98"/>
      <c r="AM107" s="98"/>
      <c r="AN107" s="107"/>
      <c r="AO107" s="107"/>
      <c r="AP107" s="98"/>
      <c r="AQ107" s="103"/>
      <c r="AR107" s="103"/>
      <c r="AS107" s="103"/>
      <c r="AT107" s="103"/>
      <c r="AU107" s="103"/>
      <c r="AV107" s="103"/>
      <c r="AW107" s="101"/>
      <c r="AX107" s="101"/>
    </row>
    <row r="108" spans="3:50" s="83" customFormat="1" ht="21" customHeight="1">
      <c r="C108" s="75"/>
      <c r="D108" s="53"/>
      <c r="E108" s="52"/>
      <c r="F108" s="52"/>
      <c r="G108" s="52"/>
      <c r="H108" s="73"/>
      <c r="I108" s="57"/>
      <c r="J108" s="73"/>
      <c r="K108" s="73"/>
      <c r="L108" s="56"/>
      <c r="M108" s="56"/>
      <c r="N108" s="56"/>
      <c r="O108" s="56"/>
      <c r="P108" s="73"/>
      <c r="Q108" s="104"/>
      <c r="R108" s="73"/>
      <c r="S108" s="73"/>
      <c r="T108" s="73"/>
      <c r="U108" s="56"/>
      <c r="V108" s="56"/>
      <c r="W108" s="73"/>
      <c r="X108" s="52"/>
      <c r="Y108" s="52"/>
      <c r="Z108" s="56"/>
      <c r="AA108" s="52"/>
      <c r="AB108" s="75"/>
      <c r="AC108" s="56"/>
      <c r="AD108" s="75"/>
      <c r="AE108" s="75"/>
      <c r="AF108" s="73"/>
      <c r="AG108" s="76"/>
      <c r="AH108" s="76"/>
      <c r="AI108" s="77"/>
      <c r="AJ108" s="52"/>
      <c r="AK108" s="78"/>
      <c r="AL108" s="98"/>
      <c r="AM108" s="98"/>
      <c r="AN108" s="107"/>
      <c r="AO108" s="107"/>
      <c r="AP108" s="98"/>
      <c r="AQ108" s="103"/>
      <c r="AR108" s="103"/>
      <c r="AS108" s="103"/>
      <c r="AT108" s="103"/>
      <c r="AU108" s="103"/>
      <c r="AV108" s="103"/>
      <c r="AW108" s="101"/>
      <c r="AX108" s="101"/>
    </row>
    <row r="109" spans="3:50" s="83" customFormat="1" ht="21" customHeight="1">
      <c r="C109" s="75"/>
      <c r="D109" s="53"/>
      <c r="E109" s="52"/>
      <c r="F109" s="52"/>
      <c r="G109" s="52"/>
      <c r="H109" s="73"/>
      <c r="I109" s="57"/>
      <c r="J109" s="73"/>
      <c r="K109" s="73"/>
      <c r="L109" s="56"/>
      <c r="M109" s="56"/>
      <c r="N109" s="56"/>
      <c r="O109" s="56"/>
      <c r="P109" s="73"/>
      <c r="Q109" s="104"/>
      <c r="R109" s="73"/>
      <c r="S109" s="73"/>
      <c r="T109" s="73"/>
      <c r="U109" s="56"/>
      <c r="V109" s="56"/>
      <c r="W109" s="73"/>
      <c r="X109" s="52"/>
      <c r="Y109" s="52"/>
      <c r="Z109" s="56"/>
      <c r="AA109" s="52"/>
      <c r="AB109" s="75"/>
      <c r="AC109" s="56"/>
      <c r="AD109" s="75"/>
      <c r="AE109" s="75"/>
      <c r="AF109" s="73"/>
      <c r="AG109" s="76"/>
      <c r="AH109" s="76"/>
      <c r="AI109" s="77"/>
      <c r="AJ109" s="52"/>
      <c r="AK109" s="78"/>
      <c r="AL109" s="98"/>
      <c r="AM109" s="98"/>
      <c r="AN109" s="107"/>
      <c r="AO109" s="107"/>
      <c r="AP109" s="98"/>
      <c r="AQ109" s="103"/>
      <c r="AR109" s="103"/>
      <c r="AS109" s="103"/>
      <c r="AT109" s="103"/>
      <c r="AU109" s="103"/>
      <c r="AV109" s="103"/>
      <c r="AW109" s="101"/>
      <c r="AX109" s="101"/>
    </row>
    <row r="110" spans="3:50" s="83" customFormat="1" ht="21" customHeight="1">
      <c r="C110" s="75"/>
      <c r="D110" s="53"/>
      <c r="E110" s="52"/>
      <c r="F110" s="52"/>
      <c r="G110" s="52"/>
      <c r="H110" s="73"/>
      <c r="I110" s="57"/>
      <c r="J110" s="73"/>
      <c r="K110" s="73"/>
      <c r="L110" s="56"/>
      <c r="M110" s="56"/>
      <c r="N110" s="56"/>
      <c r="O110" s="56"/>
      <c r="P110" s="73"/>
      <c r="Q110" s="104"/>
      <c r="R110" s="73"/>
      <c r="S110" s="73"/>
      <c r="T110" s="73"/>
      <c r="U110" s="56"/>
      <c r="V110" s="56"/>
      <c r="W110" s="73"/>
      <c r="X110" s="52"/>
      <c r="Y110" s="52"/>
      <c r="Z110" s="56"/>
      <c r="AA110" s="52"/>
      <c r="AB110" s="75"/>
      <c r="AC110" s="56"/>
      <c r="AD110" s="75"/>
      <c r="AE110" s="75"/>
      <c r="AF110" s="73"/>
      <c r="AG110" s="76"/>
      <c r="AH110" s="76"/>
      <c r="AI110" s="77"/>
      <c r="AJ110" s="52"/>
      <c r="AK110" s="78"/>
      <c r="AL110" s="98"/>
      <c r="AM110" s="98"/>
      <c r="AN110" s="107"/>
      <c r="AO110" s="107"/>
      <c r="AP110" s="98"/>
      <c r="AQ110" s="103"/>
      <c r="AR110" s="103"/>
      <c r="AS110" s="103"/>
      <c r="AT110" s="103"/>
      <c r="AU110" s="103"/>
      <c r="AV110" s="103"/>
      <c r="AW110" s="101"/>
      <c r="AX110" s="101"/>
    </row>
    <row r="111" spans="3:50" s="83" customFormat="1" ht="21" customHeight="1">
      <c r="C111" s="75"/>
      <c r="D111" s="53"/>
      <c r="E111" s="52"/>
      <c r="F111" s="52"/>
      <c r="G111" s="52"/>
      <c r="H111" s="73"/>
      <c r="I111" s="57"/>
      <c r="J111" s="73"/>
      <c r="K111" s="73"/>
      <c r="L111" s="56"/>
      <c r="M111" s="56"/>
      <c r="N111" s="56"/>
      <c r="O111" s="56"/>
      <c r="P111" s="73"/>
      <c r="Q111" s="104"/>
      <c r="R111" s="73"/>
      <c r="S111" s="73"/>
      <c r="T111" s="73"/>
      <c r="U111" s="56"/>
      <c r="V111" s="56"/>
      <c r="W111" s="73"/>
      <c r="X111" s="52"/>
      <c r="Y111" s="52"/>
      <c r="Z111" s="56"/>
      <c r="AA111" s="52"/>
      <c r="AB111" s="75"/>
      <c r="AC111" s="56"/>
      <c r="AD111" s="75"/>
      <c r="AE111" s="75"/>
      <c r="AF111" s="73"/>
      <c r="AG111" s="76"/>
      <c r="AH111" s="76"/>
      <c r="AI111" s="77"/>
      <c r="AJ111" s="52"/>
      <c r="AK111" s="78"/>
      <c r="AL111" s="98"/>
      <c r="AM111" s="98"/>
      <c r="AN111" s="107"/>
      <c r="AO111" s="107"/>
      <c r="AP111" s="98"/>
      <c r="AQ111" s="103"/>
      <c r="AR111" s="103"/>
      <c r="AS111" s="103"/>
      <c r="AT111" s="103"/>
      <c r="AU111" s="103"/>
      <c r="AV111" s="103"/>
      <c r="AW111" s="101"/>
      <c r="AX111" s="101"/>
    </row>
    <row r="112" spans="3:50" s="83" customFormat="1" ht="21" customHeight="1">
      <c r="C112" s="75"/>
      <c r="D112" s="53"/>
      <c r="E112" s="52"/>
      <c r="F112" s="52"/>
      <c r="G112" s="52"/>
      <c r="H112" s="73"/>
      <c r="I112" s="57"/>
      <c r="J112" s="73"/>
      <c r="K112" s="73"/>
      <c r="L112" s="56"/>
      <c r="M112" s="56"/>
      <c r="N112" s="56"/>
      <c r="O112" s="56"/>
      <c r="P112" s="73"/>
      <c r="Q112" s="104"/>
      <c r="R112" s="73"/>
      <c r="S112" s="73"/>
      <c r="T112" s="73"/>
      <c r="U112" s="56"/>
      <c r="V112" s="56"/>
      <c r="W112" s="73"/>
      <c r="X112" s="52"/>
      <c r="Y112" s="52"/>
      <c r="Z112" s="56"/>
      <c r="AA112" s="52"/>
      <c r="AB112" s="75"/>
      <c r="AC112" s="56"/>
      <c r="AD112" s="75"/>
      <c r="AE112" s="75"/>
      <c r="AF112" s="73"/>
      <c r="AG112" s="76"/>
      <c r="AH112" s="76"/>
      <c r="AI112" s="77"/>
      <c r="AJ112" s="52"/>
      <c r="AK112" s="78"/>
      <c r="AL112" s="98"/>
      <c r="AM112" s="98"/>
      <c r="AN112" s="107"/>
      <c r="AO112" s="107"/>
      <c r="AP112" s="98"/>
      <c r="AQ112" s="103"/>
      <c r="AR112" s="103"/>
      <c r="AS112" s="103"/>
      <c r="AT112" s="103"/>
      <c r="AU112" s="103"/>
      <c r="AV112" s="103"/>
      <c r="AW112" s="101"/>
      <c r="AX112" s="101"/>
    </row>
    <row r="113" spans="3:50" s="83" customFormat="1" ht="14.25">
      <c r="C113" s="52"/>
      <c r="D113" s="53"/>
      <c r="E113" s="52"/>
      <c r="F113" s="52"/>
      <c r="G113" s="52"/>
      <c r="H113" s="73"/>
      <c r="I113" s="57"/>
      <c r="J113" s="73"/>
      <c r="K113" s="73"/>
      <c r="L113" s="56"/>
      <c r="M113" s="56"/>
      <c r="N113" s="56"/>
      <c r="O113" s="56"/>
      <c r="P113" s="73"/>
      <c r="Q113" s="104"/>
      <c r="R113" s="112"/>
      <c r="S113" s="73"/>
      <c r="T113" s="73"/>
      <c r="U113" s="56"/>
      <c r="V113" s="56"/>
      <c r="W113" s="73"/>
      <c r="X113" s="52"/>
      <c r="Y113" s="52"/>
      <c r="Z113" s="56"/>
      <c r="AA113" s="52"/>
      <c r="AB113" s="52"/>
      <c r="AC113" s="56"/>
      <c r="AD113" s="52"/>
      <c r="AE113" s="52"/>
      <c r="AF113" s="56"/>
      <c r="AG113" s="76"/>
      <c r="AH113" s="76"/>
      <c r="AI113" s="77"/>
      <c r="AJ113" s="79"/>
      <c r="AK113" s="105"/>
      <c r="AL113" s="98"/>
      <c r="AM113" s="98"/>
      <c r="AN113" s="97"/>
      <c r="AO113" s="97"/>
      <c r="AP113" s="98"/>
      <c r="AQ113" s="103"/>
      <c r="AR113" s="103"/>
      <c r="AS113" s="103"/>
      <c r="AT113" s="103"/>
      <c r="AU113" s="103"/>
      <c r="AV113" s="103"/>
      <c r="AW113" s="101"/>
      <c r="AX113" s="101"/>
    </row>
    <row r="114" spans="3:50" s="83" customFormat="1" ht="14.25">
      <c r="C114" s="52"/>
      <c r="D114" s="53"/>
      <c r="E114" s="52"/>
      <c r="F114" s="52"/>
      <c r="G114" s="52"/>
      <c r="H114" s="73"/>
      <c r="I114" s="57"/>
      <c r="J114" s="73"/>
      <c r="K114" s="73"/>
      <c r="L114" s="56"/>
      <c r="M114" s="56"/>
      <c r="N114" s="56"/>
      <c r="O114" s="56"/>
      <c r="P114" s="73"/>
      <c r="Q114" s="104"/>
      <c r="R114" s="112"/>
      <c r="S114" s="73"/>
      <c r="T114" s="73"/>
      <c r="U114" s="56"/>
      <c r="V114" s="56"/>
      <c r="W114" s="73"/>
      <c r="X114" s="52"/>
      <c r="Y114" s="52"/>
      <c r="Z114" s="56"/>
      <c r="AA114" s="52"/>
      <c r="AB114" s="52"/>
      <c r="AC114" s="56"/>
      <c r="AD114" s="52"/>
      <c r="AE114" s="52"/>
      <c r="AF114" s="56"/>
      <c r="AG114" s="76"/>
      <c r="AH114" s="76"/>
      <c r="AI114" s="77"/>
      <c r="AJ114" s="79"/>
      <c r="AK114" s="105"/>
      <c r="AL114" s="98"/>
      <c r="AM114" s="98"/>
      <c r="AN114" s="97"/>
      <c r="AO114" s="97"/>
      <c r="AP114" s="98"/>
      <c r="AQ114" s="103"/>
      <c r="AR114" s="103"/>
      <c r="AS114" s="103"/>
      <c r="AT114" s="103"/>
      <c r="AU114" s="103"/>
      <c r="AV114" s="103"/>
      <c r="AW114" s="101"/>
      <c r="AX114" s="101"/>
    </row>
    <row r="115" spans="3:50" s="83" customFormat="1" ht="14.25">
      <c r="C115" s="52"/>
      <c r="D115" s="53"/>
      <c r="E115" s="52"/>
      <c r="F115" s="52"/>
      <c r="G115" s="52"/>
      <c r="H115" s="73"/>
      <c r="I115" s="57"/>
      <c r="J115" s="73"/>
      <c r="K115" s="73"/>
      <c r="L115" s="56"/>
      <c r="M115" s="56"/>
      <c r="N115" s="56"/>
      <c r="O115" s="56"/>
      <c r="P115" s="73"/>
      <c r="Q115" s="104"/>
      <c r="R115" s="112"/>
      <c r="S115" s="73"/>
      <c r="T115" s="73"/>
      <c r="U115" s="56"/>
      <c r="V115" s="56"/>
      <c r="W115" s="73"/>
      <c r="X115" s="52"/>
      <c r="Y115" s="52"/>
      <c r="Z115" s="56"/>
      <c r="AA115" s="52"/>
      <c r="AB115" s="52"/>
      <c r="AC115" s="56"/>
      <c r="AD115" s="52"/>
      <c r="AE115" s="52"/>
      <c r="AF115" s="56"/>
      <c r="AG115" s="76"/>
      <c r="AH115" s="76"/>
      <c r="AI115" s="77"/>
      <c r="AJ115" s="79"/>
      <c r="AK115" s="105"/>
      <c r="AL115" s="98"/>
      <c r="AM115" s="98"/>
      <c r="AN115" s="97"/>
      <c r="AO115" s="97"/>
      <c r="AP115" s="98"/>
      <c r="AQ115" s="103"/>
      <c r="AR115" s="103"/>
      <c r="AS115" s="103"/>
      <c r="AT115" s="103"/>
      <c r="AU115" s="103"/>
      <c r="AV115" s="103"/>
      <c r="AW115" s="101"/>
      <c r="AX115" s="101"/>
    </row>
    <row r="116" spans="3:50" s="83" customFormat="1" ht="14.25">
      <c r="C116" s="52"/>
      <c r="D116" s="53"/>
      <c r="E116" s="52"/>
      <c r="F116" s="52"/>
      <c r="G116" s="52"/>
      <c r="H116" s="73"/>
      <c r="I116" s="57"/>
      <c r="J116" s="73"/>
      <c r="K116" s="73"/>
      <c r="L116" s="56"/>
      <c r="M116" s="56"/>
      <c r="N116" s="56"/>
      <c r="O116" s="56"/>
      <c r="P116" s="73"/>
      <c r="Q116" s="104"/>
      <c r="R116" s="112"/>
      <c r="S116" s="73"/>
      <c r="T116" s="73"/>
      <c r="U116" s="56"/>
      <c r="V116" s="56"/>
      <c r="W116" s="73"/>
      <c r="X116" s="52"/>
      <c r="Y116" s="52"/>
      <c r="Z116" s="56"/>
      <c r="AA116" s="52"/>
      <c r="AB116" s="52"/>
      <c r="AC116" s="56"/>
      <c r="AD116" s="52"/>
      <c r="AE116" s="52"/>
      <c r="AF116" s="56"/>
      <c r="AG116" s="76"/>
      <c r="AH116" s="76"/>
      <c r="AI116" s="77"/>
      <c r="AJ116" s="79"/>
      <c r="AK116" s="105"/>
      <c r="AL116" s="98"/>
      <c r="AM116" s="98"/>
      <c r="AN116" s="97"/>
      <c r="AO116" s="97"/>
      <c r="AP116" s="98"/>
      <c r="AQ116" s="103"/>
      <c r="AR116" s="103"/>
      <c r="AS116" s="103"/>
      <c r="AT116" s="103"/>
      <c r="AU116" s="103"/>
      <c r="AV116" s="103"/>
      <c r="AW116" s="101"/>
      <c r="AX116" s="101"/>
    </row>
    <row r="117" spans="3:50" s="83" customFormat="1" ht="14.25">
      <c r="C117" s="52"/>
      <c r="D117" s="53"/>
      <c r="E117" s="52"/>
      <c r="F117" s="52"/>
      <c r="G117" s="52"/>
      <c r="H117" s="73"/>
      <c r="I117" s="57"/>
      <c r="J117" s="73"/>
      <c r="K117" s="73"/>
      <c r="L117" s="56"/>
      <c r="M117" s="56"/>
      <c r="N117" s="56"/>
      <c r="O117" s="56"/>
      <c r="P117" s="73"/>
      <c r="Q117" s="104"/>
      <c r="R117" s="112"/>
      <c r="S117" s="73"/>
      <c r="T117" s="73"/>
      <c r="U117" s="56"/>
      <c r="V117" s="56"/>
      <c r="W117" s="73"/>
      <c r="X117" s="52"/>
      <c r="Y117" s="52"/>
      <c r="Z117" s="56"/>
      <c r="AA117" s="52"/>
      <c r="AB117" s="52"/>
      <c r="AC117" s="56"/>
      <c r="AD117" s="52"/>
      <c r="AE117" s="52"/>
      <c r="AF117" s="56"/>
      <c r="AG117" s="76"/>
      <c r="AH117" s="76"/>
      <c r="AI117" s="77"/>
      <c r="AJ117" s="79"/>
      <c r="AK117" s="105"/>
      <c r="AL117" s="98"/>
      <c r="AM117" s="98"/>
      <c r="AN117" s="97"/>
      <c r="AO117" s="97"/>
      <c r="AP117" s="98"/>
      <c r="AQ117" s="103"/>
      <c r="AR117" s="103"/>
      <c r="AS117" s="103"/>
      <c r="AT117" s="103"/>
      <c r="AU117" s="103"/>
      <c r="AV117" s="103"/>
      <c r="AW117" s="101"/>
      <c r="AX117" s="101"/>
    </row>
    <row r="118" spans="3:50" s="83" customFormat="1" ht="14.25">
      <c r="C118" s="52"/>
      <c r="D118" s="53"/>
      <c r="E118" s="52"/>
      <c r="F118" s="52"/>
      <c r="G118" s="52"/>
      <c r="H118" s="73"/>
      <c r="I118" s="57"/>
      <c r="J118" s="73"/>
      <c r="K118" s="73"/>
      <c r="L118" s="56"/>
      <c r="M118" s="56"/>
      <c r="N118" s="56"/>
      <c r="O118" s="56"/>
      <c r="P118" s="73"/>
      <c r="Q118" s="104"/>
      <c r="R118" s="112"/>
      <c r="S118" s="73"/>
      <c r="T118" s="73"/>
      <c r="U118" s="56"/>
      <c r="V118" s="56"/>
      <c r="W118" s="73"/>
      <c r="X118" s="52"/>
      <c r="Y118" s="52"/>
      <c r="Z118" s="56"/>
      <c r="AA118" s="52"/>
      <c r="AB118" s="52"/>
      <c r="AC118" s="56"/>
      <c r="AD118" s="52"/>
      <c r="AE118" s="52"/>
      <c r="AF118" s="56"/>
      <c r="AG118" s="76"/>
      <c r="AH118" s="76"/>
      <c r="AI118" s="77"/>
      <c r="AJ118" s="79"/>
      <c r="AK118" s="105"/>
      <c r="AL118" s="98"/>
      <c r="AM118" s="98"/>
      <c r="AN118" s="97"/>
      <c r="AO118" s="97"/>
      <c r="AP118" s="98"/>
      <c r="AQ118" s="103"/>
      <c r="AR118" s="103"/>
      <c r="AS118" s="103"/>
      <c r="AT118" s="103"/>
      <c r="AU118" s="103"/>
      <c r="AV118" s="103"/>
      <c r="AW118" s="101"/>
      <c r="AX118" s="101"/>
    </row>
    <row r="119" spans="3:50" s="83" customFormat="1" ht="14.25">
      <c r="C119" s="52"/>
      <c r="D119" s="53"/>
      <c r="E119" s="52"/>
      <c r="F119" s="52"/>
      <c r="G119" s="52"/>
      <c r="H119" s="73"/>
      <c r="I119" s="57"/>
      <c r="J119" s="73"/>
      <c r="K119" s="73"/>
      <c r="L119" s="56"/>
      <c r="M119" s="56"/>
      <c r="N119" s="56"/>
      <c r="O119" s="56"/>
      <c r="P119" s="73"/>
      <c r="Q119" s="104"/>
      <c r="R119" s="112"/>
      <c r="S119" s="73"/>
      <c r="T119" s="73"/>
      <c r="U119" s="56"/>
      <c r="V119" s="56"/>
      <c r="W119" s="73"/>
      <c r="X119" s="52"/>
      <c r="Y119" s="52"/>
      <c r="Z119" s="56"/>
      <c r="AA119" s="52"/>
      <c r="AB119" s="52"/>
      <c r="AC119" s="56"/>
      <c r="AD119" s="52"/>
      <c r="AE119" s="52"/>
      <c r="AF119" s="56"/>
      <c r="AG119" s="76"/>
      <c r="AH119" s="76"/>
      <c r="AI119" s="77"/>
      <c r="AJ119" s="79"/>
      <c r="AK119" s="105"/>
      <c r="AL119" s="98"/>
      <c r="AM119" s="98"/>
      <c r="AN119" s="97"/>
      <c r="AO119" s="97"/>
      <c r="AP119" s="98"/>
      <c r="AQ119" s="103"/>
      <c r="AR119" s="103"/>
      <c r="AS119" s="103"/>
      <c r="AT119" s="103"/>
      <c r="AU119" s="103"/>
      <c r="AV119" s="103"/>
      <c r="AW119" s="101"/>
      <c r="AX119" s="101"/>
    </row>
    <row r="120" spans="3:50" s="83" customFormat="1" ht="14.25">
      <c r="C120" s="52"/>
      <c r="D120" s="53"/>
      <c r="E120" s="52"/>
      <c r="F120" s="52"/>
      <c r="G120" s="52"/>
      <c r="H120" s="73"/>
      <c r="I120" s="57"/>
      <c r="J120" s="73"/>
      <c r="K120" s="73"/>
      <c r="L120" s="56"/>
      <c r="M120" s="56"/>
      <c r="N120" s="56"/>
      <c r="O120" s="56"/>
      <c r="P120" s="73"/>
      <c r="Q120" s="104"/>
      <c r="R120" s="112"/>
      <c r="S120" s="73"/>
      <c r="T120" s="73"/>
      <c r="U120" s="56"/>
      <c r="V120" s="56"/>
      <c r="W120" s="73"/>
      <c r="X120" s="52"/>
      <c r="Y120" s="52"/>
      <c r="Z120" s="56"/>
      <c r="AA120" s="52"/>
      <c r="AB120" s="52"/>
      <c r="AC120" s="56"/>
      <c r="AD120" s="52"/>
      <c r="AE120" s="52"/>
      <c r="AF120" s="56"/>
      <c r="AG120" s="76"/>
      <c r="AH120" s="76"/>
      <c r="AI120" s="77"/>
      <c r="AJ120" s="79"/>
      <c r="AK120" s="105"/>
      <c r="AL120" s="98"/>
      <c r="AM120" s="98"/>
      <c r="AN120" s="97"/>
      <c r="AO120" s="97"/>
      <c r="AP120" s="98"/>
      <c r="AQ120" s="103"/>
      <c r="AR120" s="103"/>
      <c r="AS120" s="103"/>
      <c r="AT120" s="103"/>
      <c r="AU120" s="103"/>
      <c r="AV120" s="103"/>
      <c r="AW120" s="101"/>
      <c r="AX120" s="101"/>
    </row>
    <row r="121" spans="3:50" s="83" customFormat="1" ht="14.25">
      <c r="C121" s="52"/>
      <c r="D121" s="53"/>
      <c r="E121" s="52"/>
      <c r="F121" s="52"/>
      <c r="G121" s="52"/>
      <c r="H121" s="73"/>
      <c r="I121" s="57"/>
      <c r="J121" s="73"/>
      <c r="K121" s="73"/>
      <c r="L121" s="56"/>
      <c r="M121" s="56"/>
      <c r="N121" s="56"/>
      <c r="O121" s="56"/>
      <c r="P121" s="73"/>
      <c r="Q121" s="104"/>
      <c r="R121" s="112"/>
      <c r="S121" s="73"/>
      <c r="T121" s="73"/>
      <c r="U121" s="56"/>
      <c r="V121" s="56"/>
      <c r="W121" s="73"/>
      <c r="X121" s="52"/>
      <c r="Y121" s="52"/>
      <c r="Z121" s="56"/>
      <c r="AA121" s="52"/>
      <c r="AB121" s="52"/>
      <c r="AC121" s="56"/>
      <c r="AD121" s="52"/>
      <c r="AE121" s="52"/>
      <c r="AF121" s="56"/>
      <c r="AG121" s="76"/>
      <c r="AH121" s="76"/>
      <c r="AI121" s="77"/>
      <c r="AJ121" s="79"/>
      <c r="AK121" s="105"/>
      <c r="AL121" s="98"/>
      <c r="AM121" s="98"/>
      <c r="AN121" s="97"/>
      <c r="AO121" s="97"/>
      <c r="AP121" s="98"/>
      <c r="AQ121" s="103"/>
      <c r="AR121" s="103"/>
      <c r="AS121" s="103"/>
      <c r="AT121" s="103"/>
      <c r="AU121" s="103"/>
      <c r="AV121" s="103"/>
      <c r="AW121" s="101"/>
      <c r="AX121" s="101"/>
    </row>
    <row r="122" spans="3:50" s="83" customFormat="1" ht="14.25">
      <c r="C122" s="52"/>
      <c r="D122" s="53"/>
      <c r="E122" s="52"/>
      <c r="F122" s="52"/>
      <c r="G122" s="52"/>
      <c r="H122" s="73"/>
      <c r="I122" s="57"/>
      <c r="J122" s="73"/>
      <c r="K122" s="73"/>
      <c r="L122" s="56"/>
      <c r="M122" s="56"/>
      <c r="N122" s="56"/>
      <c r="O122" s="56"/>
      <c r="P122" s="73"/>
      <c r="Q122" s="104"/>
      <c r="R122" s="112"/>
      <c r="S122" s="73"/>
      <c r="T122" s="73"/>
      <c r="U122" s="56"/>
      <c r="V122" s="56"/>
      <c r="W122" s="73"/>
      <c r="X122" s="52"/>
      <c r="Y122" s="52"/>
      <c r="Z122" s="56"/>
      <c r="AA122" s="52"/>
      <c r="AB122" s="52"/>
      <c r="AC122" s="56"/>
      <c r="AD122" s="52"/>
      <c r="AE122" s="52"/>
      <c r="AF122" s="56"/>
      <c r="AG122" s="76"/>
      <c r="AH122" s="76"/>
      <c r="AI122" s="77"/>
      <c r="AJ122" s="79"/>
      <c r="AK122" s="105"/>
      <c r="AL122" s="98"/>
      <c r="AM122" s="98"/>
      <c r="AN122" s="97"/>
      <c r="AO122" s="97"/>
      <c r="AP122" s="98"/>
      <c r="AQ122" s="103"/>
      <c r="AR122" s="103"/>
      <c r="AS122" s="103"/>
      <c r="AT122" s="103"/>
      <c r="AU122" s="103"/>
      <c r="AV122" s="103"/>
      <c r="AW122" s="101"/>
      <c r="AX122" s="101"/>
    </row>
    <row r="123" spans="3:50" s="83" customFormat="1" ht="14.25">
      <c r="C123" s="52"/>
      <c r="D123" s="53"/>
      <c r="E123" s="52"/>
      <c r="F123" s="52"/>
      <c r="G123" s="52"/>
      <c r="H123" s="73"/>
      <c r="I123" s="57"/>
      <c r="J123" s="73"/>
      <c r="K123" s="73"/>
      <c r="L123" s="56"/>
      <c r="M123" s="56"/>
      <c r="N123" s="56"/>
      <c r="O123" s="56"/>
      <c r="P123" s="73"/>
      <c r="Q123" s="104"/>
      <c r="R123" s="112"/>
      <c r="S123" s="73"/>
      <c r="T123" s="73"/>
      <c r="U123" s="56"/>
      <c r="V123" s="56"/>
      <c r="W123" s="73"/>
      <c r="X123" s="52"/>
      <c r="Y123" s="52"/>
      <c r="Z123" s="56"/>
      <c r="AA123" s="52"/>
      <c r="AB123" s="52"/>
      <c r="AC123" s="56"/>
      <c r="AD123" s="52"/>
      <c r="AE123" s="52"/>
      <c r="AF123" s="56"/>
      <c r="AG123" s="76"/>
      <c r="AH123" s="76"/>
      <c r="AI123" s="77"/>
      <c r="AJ123" s="79"/>
      <c r="AK123" s="105"/>
      <c r="AL123" s="98"/>
      <c r="AM123" s="98"/>
      <c r="AN123" s="97"/>
      <c r="AO123" s="97"/>
      <c r="AP123" s="98"/>
      <c r="AQ123" s="103"/>
      <c r="AR123" s="103"/>
      <c r="AS123" s="103"/>
      <c r="AT123" s="103"/>
      <c r="AU123" s="103"/>
      <c r="AV123" s="103"/>
      <c r="AW123" s="101"/>
      <c r="AX123" s="101"/>
    </row>
    <row r="124" spans="3:50" s="83" customFormat="1" ht="14.25">
      <c r="C124" s="52"/>
      <c r="D124" s="53"/>
      <c r="E124" s="52"/>
      <c r="F124" s="52"/>
      <c r="G124" s="52"/>
      <c r="H124" s="73"/>
      <c r="I124" s="57"/>
      <c r="J124" s="73"/>
      <c r="K124" s="73"/>
      <c r="L124" s="56"/>
      <c r="M124" s="56"/>
      <c r="N124" s="56"/>
      <c r="O124" s="56"/>
      <c r="P124" s="73"/>
      <c r="Q124" s="104"/>
      <c r="R124" s="112"/>
      <c r="S124" s="73"/>
      <c r="T124" s="73"/>
      <c r="U124" s="56"/>
      <c r="V124" s="56"/>
      <c r="W124" s="73"/>
      <c r="X124" s="52"/>
      <c r="Y124" s="52"/>
      <c r="Z124" s="56"/>
      <c r="AA124" s="52"/>
      <c r="AB124" s="52"/>
      <c r="AC124" s="56"/>
      <c r="AD124" s="52"/>
      <c r="AE124" s="52"/>
      <c r="AF124" s="56"/>
      <c r="AG124" s="76"/>
      <c r="AH124" s="76"/>
      <c r="AI124" s="77"/>
      <c r="AJ124" s="79"/>
      <c r="AK124" s="105"/>
      <c r="AL124" s="98"/>
      <c r="AM124" s="98"/>
      <c r="AN124" s="97"/>
      <c r="AO124" s="97"/>
      <c r="AP124" s="98"/>
      <c r="AQ124" s="103"/>
      <c r="AR124" s="103"/>
      <c r="AS124" s="103"/>
      <c r="AT124" s="103"/>
      <c r="AU124" s="103"/>
      <c r="AV124" s="103"/>
      <c r="AW124" s="101"/>
      <c r="AX124" s="101"/>
    </row>
    <row r="125" spans="3:50" s="83" customFormat="1" ht="14.25">
      <c r="C125" s="52"/>
      <c r="D125" s="53"/>
      <c r="E125" s="52"/>
      <c r="F125" s="52"/>
      <c r="G125" s="52"/>
      <c r="H125" s="73"/>
      <c r="I125" s="57"/>
      <c r="J125" s="73"/>
      <c r="K125" s="73"/>
      <c r="L125" s="56"/>
      <c r="M125" s="56"/>
      <c r="N125" s="56"/>
      <c r="O125" s="56"/>
      <c r="P125" s="73"/>
      <c r="Q125" s="104"/>
      <c r="R125" s="112"/>
      <c r="S125" s="73"/>
      <c r="T125" s="73"/>
      <c r="U125" s="56"/>
      <c r="V125" s="56"/>
      <c r="W125" s="73"/>
      <c r="X125" s="52"/>
      <c r="Y125" s="52"/>
      <c r="Z125" s="56"/>
      <c r="AA125" s="52"/>
      <c r="AB125" s="52"/>
      <c r="AC125" s="56"/>
      <c r="AD125" s="52"/>
      <c r="AE125" s="52"/>
      <c r="AF125" s="56"/>
      <c r="AG125" s="76"/>
      <c r="AH125" s="76"/>
      <c r="AI125" s="77"/>
      <c r="AJ125" s="79"/>
      <c r="AK125" s="105"/>
      <c r="AL125" s="98"/>
      <c r="AM125" s="98"/>
      <c r="AN125" s="97"/>
      <c r="AO125" s="97"/>
      <c r="AP125" s="98"/>
      <c r="AQ125" s="103"/>
      <c r="AR125" s="103"/>
      <c r="AS125" s="103"/>
      <c r="AT125" s="103"/>
      <c r="AU125" s="103"/>
      <c r="AV125" s="103"/>
      <c r="AW125" s="101"/>
      <c r="AX125" s="101"/>
    </row>
    <row r="126" spans="3:50" s="83" customFormat="1" ht="14.25">
      <c r="C126" s="52"/>
      <c r="D126" s="53"/>
      <c r="E126" s="52"/>
      <c r="F126" s="52"/>
      <c r="G126" s="52"/>
      <c r="H126" s="73"/>
      <c r="I126" s="57"/>
      <c r="J126" s="73"/>
      <c r="K126" s="73"/>
      <c r="L126" s="56"/>
      <c r="M126" s="56"/>
      <c r="N126" s="56"/>
      <c r="O126" s="56"/>
      <c r="P126" s="73"/>
      <c r="Q126" s="104"/>
      <c r="R126" s="112"/>
      <c r="S126" s="73"/>
      <c r="T126" s="73"/>
      <c r="U126" s="56"/>
      <c r="V126" s="56"/>
      <c r="W126" s="73"/>
      <c r="X126" s="52"/>
      <c r="Y126" s="52"/>
      <c r="Z126" s="56"/>
      <c r="AA126" s="52"/>
      <c r="AB126" s="52"/>
      <c r="AC126" s="56"/>
      <c r="AD126" s="52"/>
      <c r="AE126" s="52"/>
      <c r="AF126" s="56"/>
      <c r="AG126" s="76"/>
      <c r="AH126" s="76"/>
      <c r="AI126" s="77"/>
      <c r="AJ126" s="79"/>
      <c r="AK126" s="105"/>
      <c r="AL126" s="98"/>
      <c r="AM126" s="98"/>
      <c r="AN126" s="97"/>
      <c r="AO126" s="97"/>
      <c r="AP126" s="98"/>
      <c r="AQ126" s="103"/>
      <c r="AR126" s="103"/>
      <c r="AS126" s="103"/>
      <c r="AT126" s="103"/>
      <c r="AU126" s="103"/>
      <c r="AV126" s="103"/>
      <c r="AW126" s="101"/>
      <c r="AX126" s="101"/>
    </row>
    <row r="127" spans="3:50" s="83" customFormat="1" ht="14.25">
      <c r="C127" s="52"/>
      <c r="D127" s="53"/>
      <c r="E127" s="52"/>
      <c r="F127" s="52"/>
      <c r="G127" s="52"/>
      <c r="H127" s="73"/>
      <c r="I127" s="57"/>
      <c r="J127" s="73"/>
      <c r="K127" s="73"/>
      <c r="L127" s="56"/>
      <c r="M127" s="56"/>
      <c r="N127" s="56"/>
      <c r="O127" s="56"/>
      <c r="P127" s="73"/>
      <c r="Q127" s="104"/>
      <c r="R127" s="112"/>
      <c r="S127" s="73"/>
      <c r="T127" s="73"/>
      <c r="U127" s="56"/>
      <c r="V127" s="56"/>
      <c r="W127" s="73"/>
      <c r="X127" s="52"/>
      <c r="Y127" s="52"/>
      <c r="Z127" s="56"/>
      <c r="AA127" s="52"/>
      <c r="AB127" s="52"/>
      <c r="AC127" s="56"/>
      <c r="AD127" s="52"/>
      <c r="AE127" s="52"/>
      <c r="AF127" s="56"/>
      <c r="AG127" s="76"/>
      <c r="AH127" s="76"/>
      <c r="AI127" s="77"/>
      <c r="AJ127" s="79"/>
      <c r="AK127" s="105"/>
      <c r="AL127" s="98"/>
      <c r="AM127" s="98"/>
      <c r="AN127" s="97"/>
      <c r="AO127" s="97"/>
      <c r="AP127" s="98"/>
      <c r="AQ127" s="103"/>
      <c r="AR127" s="103"/>
      <c r="AS127" s="103"/>
      <c r="AT127" s="103"/>
      <c r="AU127" s="103"/>
      <c r="AV127" s="103"/>
      <c r="AW127" s="101"/>
      <c r="AX127" s="101"/>
    </row>
    <row r="128" spans="3:50" s="83" customFormat="1" ht="14.25">
      <c r="C128" s="52"/>
      <c r="D128" s="53"/>
      <c r="E128" s="52"/>
      <c r="F128" s="52"/>
      <c r="G128" s="52"/>
      <c r="H128" s="73"/>
      <c r="I128" s="57"/>
      <c r="J128" s="73"/>
      <c r="K128" s="73"/>
      <c r="L128" s="56"/>
      <c r="M128" s="56"/>
      <c r="N128" s="56"/>
      <c r="O128" s="56"/>
      <c r="P128" s="73"/>
      <c r="Q128" s="104"/>
      <c r="R128" s="112"/>
      <c r="S128" s="73"/>
      <c r="T128" s="73"/>
      <c r="U128" s="56"/>
      <c r="V128" s="56"/>
      <c r="W128" s="73"/>
      <c r="X128" s="52"/>
      <c r="Y128" s="52"/>
      <c r="Z128" s="56"/>
      <c r="AA128" s="52"/>
      <c r="AB128" s="52"/>
      <c r="AC128" s="56"/>
      <c r="AD128" s="52"/>
      <c r="AE128" s="52"/>
      <c r="AF128" s="56"/>
      <c r="AG128" s="76"/>
      <c r="AH128" s="76"/>
      <c r="AI128" s="77"/>
      <c r="AJ128" s="79"/>
      <c r="AK128" s="105"/>
      <c r="AL128" s="98"/>
      <c r="AM128" s="98"/>
      <c r="AN128" s="97"/>
      <c r="AO128" s="97"/>
      <c r="AP128" s="98"/>
      <c r="AQ128" s="103"/>
      <c r="AR128" s="103"/>
      <c r="AS128" s="103"/>
      <c r="AT128" s="103"/>
      <c r="AU128" s="103"/>
      <c r="AV128" s="103"/>
      <c r="AW128" s="101"/>
      <c r="AX128" s="101"/>
    </row>
    <row r="129" spans="3:50" s="83" customFormat="1" ht="14.25">
      <c r="C129" s="52"/>
      <c r="D129" s="53"/>
      <c r="E129" s="52"/>
      <c r="F129" s="52"/>
      <c r="G129" s="52"/>
      <c r="H129" s="73"/>
      <c r="I129" s="57"/>
      <c r="J129" s="73"/>
      <c r="K129" s="73"/>
      <c r="L129" s="56"/>
      <c r="M129" s="56"/>
      <c r="N129" s="56"/>
      <c r="O129" s="56"/>
      <c r="P129" s="73"/>
      <c r="Q129" s="104"/>
      <c r="R129" s="112"/>
      <c r="S129" s="73"/>
      <c r="T129" s="73"/>
      <c r="U129" s="56"/>
      <c r="V129" s="56"/>
      <c r="W129" s="73"/>
      <c r="X129" s="52"/>
      <c r="Y129" s="52"/>
      <c r="Z129" s="56"/>
      <c r="AA129" s="52"/>
      <c r="AB129" s="52"/>
      <c r="AC129" s="56"/>
      <c r="AD129" s="52"/>
      <c r="AE129" s="52"/>
      <c r="AF129" s="56"/>
      <c r="AG129" s="76"/>
      <c r="AH129" s="76"/>
      <c r="AI129" s="77"/>
      <c r="AJ129" s="79"/>
      <c r="AK129" s="105"/>
      <c r="AL129" s="98"/>
      <c r="AM129" s="98"/>
      <c r="AN129" s="97"/>
      <c r="AO129" s="97"/>
      <c r="AP129" s="98"/>
      <c r="AQ129" s="103"/>
      <c r="AR129" s="103"/>
      <c r="AS129" s="103"/>
      <c r="AT129" s="103"/>
      <c r="AU129" s="103"/>
      <c r="AV129" s="103"/>
      <c r="AW129" s="101"/>
      <c r="AX129" s="101"/>
    </row>
    <row r="130" spans="3:50" s="83" customFormat="1" ht="14.25">
      <c r="C130" s="52"/>
      <c r="D130" s="53"/>
      <c r="E130" s="52"/>
      <c r="F130" s="52"/>
      <c r="G130" s="52"/>
      <c r="H130" s="73"/>
      <c r="I130" s="57"/>
      <c r="J130" s="73"/>
      <c r="K130" s="73"/>
      <c r="L130" s="56"/>
      <c r="M130" s="56"/>
      <c r="N130" s="56"/>
      <c r="O130" s="56"/>
      <c r="P130" s="73"/>
      <c r="Q130" s="104"/>
      <c r="R130" s="112"/>
      <c r="S130" s="73"/>
      <c r="T130" s="73"/>
      <c r="U130" s="56"/>
      <c r="V130" s="56"/>
      <c r="W130" s="73"/>
      <c r="X130" s="52"/>
      <c r="Y130" s="52"/>
      <c r="Z130" s="56"/>
      <c r="AA130" s="52"/>
      <c r="AB130" s="52"/>
      <c r="AC130" s="56"/>
      <c r="AD130" s="52"/>
      <c r="AE130" s="52"/>
      <c r="AF130" s="56"/>
      <c r="AG130" s="76"/>
      <c r="AH130" s="76"/>
      <c r="AI130" s="77"/>
      <c r="AJ130" s="79"/>
      <c r="AK130" s="105"/>
      <c r="AL130" s="98"/>
      <c r="AM130" s="98"/>
      <c r="AN130" s="97"/>
      <c r="AO130" s="97"/>
      <c r="AP130" s="98"/>
      <c r="AQ130" s="103"/>
      <c r="AR130" s="103"/>
      <c r="AS130" s="103"/>
      <c r="AT130" s="103"/>
      <c r="AU130" s="103"/>
      <c r="AV130" s="103"/>
      <c r="AW130" s="101"/>
      <c r="AX130" s="101"/>
    </row>
    <row r="131" spans="3:50" s="83" customFormat="1" ht="14.25">
      <c r="C131" s="52"/>
      <c r="D131" s="53"/>
      <c r="E131" s="52"/>
      <c r="F131" s="52"/>
      <c r="G131" s="52"/>
      <c r="H131" s="73"/>
      <c r="I131" s="57"/>
      <c r="J131" s="73"/>
      <c r="K131" s="73"/>
      <c r="L131" s="56"/>
      <c r="M131" s="56"/>
      <c r="N131" s="56"/>
      <c r="O131" s="56"/>
      <c r="P131" s="73"/>
      <c r="Q131" s="104"/>
      <c r="R131" s="112"/>
      <c r="S131" s="73"/>
      <c r="T131" s="73"/>
      <c r="U131" s="56"/>
      <c r="V131" s="56"/>
      <c r="W131" s="73"/>
      <c r="X131" s="52"/>
      <c r="Y131" s="52"/>
      <c r="Z131" s="56"/>
      <c r="AA131" s="52"/>
      <c r="AB131" s="52"/>
      <c r="AC131" s="56"/>
      <c r="AD131" s="52"/>
      <c r="AE131" s="52"/>
      <c r="AF131" s="56"/>
      <c r="AG131" s="76"/>
      <c r="AH131" s="76"/>
      <c r="AI131" s="77"/>
      <c r="AJ131" s="79"/>
      <c r="AK131" s="105"/>
      <c r="AL131" s="98"/>
      <c r="AM131" s="98"/>
      <c r="AN131" s="97"/>
      <c r="AO131" s="97"/>
      <c r="AP131" s="98"/>
      <c r="AQ131" s="103"/>
      <c r="AR131" s="103"/>
      <c r="AS131" s="103"/>
      <c r="AT131" s="103"/>
      <c r="AU131" s="103"/>
      <c r="AV131" s="103"/>
      <c r="AW131" s="101"/>
      <c r="AX131" s="101"/>
    </row>
    <row r="132" spans="3:50" s="47" customFormat="1" ht="14.25">
      <c r="L132" s="51"/>
      <c r="P132" s="100"/>
      <c r="Q132" s="104"/>
      <c r="R132" s="100"/>
      <c r="T132" s="100"/>
      <c r="W132" s="100"/>
      <c r="AK132" s="84"/>
      <c r="AQ132" s="100"/>
      <c r="AR132" s="100"/>
      <c r="AS132" s="100"/>
      <c r="AT132" s="100"/>
      <c r="AU132" s="100"/>
      <c r="AV132" s="100"/>
      <c r="AW132" s="100"/>
      <c r="AX132" s="100"/>
    </row>
    <row r="133" spans="3:50" s="47" customFormat="1" ht="14.25">
      <c r="L133" s="51"/>
      <c r="P133" s="100"/>
      <c r="Q133" s="104"/>
      <c r="R133" s="100"/>
      <c r="T133" s="100"/>
      <c r="W133" s="100"/>
      <c r="AK133" s="84"/>
      <c r="AQ133" s="100"/>
      <c r="AR133" s="100"/>
      <c r="AS133" s="100"/>
      <c r="AT133" s="100"/>
      <c r="AU133" s="100"/>
      <c r="AV133" s="100"/>
      <c r="AW133" s="100"/>
      <c r="AX133" s="100"/>
    </row>
    <row r="134" spans="3:50" s="47" customFormat="1" ht="14.25">
      <c r="L134" s="51"/>
      <c r="P134" s="100"/>
      <c r="Q134" s="104"/>
      <c r="R134" s="100"/>
      <c r="T134" s="100"/>
      <c r="W134" s="100"/>
      <c r="AK134" s="84"/>
      <c r="AQ134" s="100"/>
      <c r="AR134" s="100"/>
      <c r="AS134" s="100"/>
      <c r="AT134" s="100"/>
      <c r="AU134" s="100"/>
      <c r="AV134" s="100"/>
      <c r="AW134" s="100"/>
      <c r="AX134" s="100"/>
    </row>
    <row r="135" spans="3:50" s="47" customFormat="1" ht="14.25">
      <c r="L135" s="51"/>
      <c r="P135" s="100"/>
      <c r="Q135" s="104"/>
      <c r="R135" s="100"/>
      <c r="T135" s="100"/>
      <c r="W135" s="100"/>
      <c r="AK135" s="84"/>
      <c r="AQ135" s="100"/>
      <c r="AR135" s="100"/>
      <c r="AS135" s="100"/>
      <c r="AT135" s="100"/>
      <c r="AU135" s="100"/>
      <c r="AV135" s="100"/>
      <c r="AW135" s="100"/>
      <c r="AX135" s="100"/>
    </row>
    <row r="136" spans="3:50" s="47" customFormat="1" ht="14.25">
      <c r="L136" s="51"/>
      <c r="P136" s="100"/>
      <c r="Q136" s="104"/>
      <c r="R136" s="100"/>
      <c r="T136" s="100"/>
      <c r="W136" s="100"/>
      <c r="AK136" s="84"/>
      <c r="AQ136" s="100"/>
      <c r="AR136" s="100"/>
      <c r="AS136" s="100"/>
      <c r="AT136" s="100"/>
      <c r="AU136" s="100"/>
      <c r="AV136" s="100"/>
      <c r="AW136" s="100"/>
      <c r="AX136" s="100"/>
    </row>
    <row r="137" spans="3:50" s="47" customFormat="1" ht="14.25">
      <c r="L137" s="51"/>
      <c r="P137" s="100"/>
      <c r="Q137" s="104"/>
      <c r="R137" s="100"/>
      <c r="T137" s="100"/>
      <c r="W137" s="100"/>
      <c r="AK137" s="84"/>
      <c r="AQ137" s="100"/>
      <c r="AR137" s="100"/>
      <c r="AS137" s="100"/>
      <c r="AT137" s="100"/>
      <c r="AU137" s="100"/>
      <c r="AV137" s="100"/>
      <c r="AW137" s="100"/>
      <c r="AX137" s="100"/>
    </row>
    <row r="138" spans="3:50" s="47" customFormat="1" ht="14.25">
      <c r="L138" s="51"/>
      <c r="P138" s="100"/>
      <c r="Q138" s="104"/>
      <c r="R138" s="100"/>
      <c r="T138" s="100"/>
      <c r="W138" s="100"/>
      <c r="AK138" s="84"/>
      <c r="AQ138" s="100"/>
      <c r="AR138" s="100"/>
      <c r="AS138" s="100"/>
      <c r="AT138" s="100"/>
      <c r="AU138" s="100"/>
      <c r="AV138" s="100"/>
      <c r="AW138" s="100"/>
      <c r="AX138" s="100"/>
    </row>
    <row r="139" spans="3:50" s="47" customFormat="1" ht="14.25">
      <c r="L139" s="51"/>
      <c r="P139" s="100"/>
      <c r="Q139" s="104"/>
      <c r="R139" s="100"/>
      <c r="T139" s="100"/>
      <c r="W139" s="100"/>
      <c r="AK139" s="84"/>
      <c r="AQ139" s="100"/>
      <c r="AR139" s="100"/>
      <c r="AS139" s="100"/>
      <c r="AT139" s="100"/>
      <c r="AU139" s="100"/>
      <c r="AV139" s="100"/>
      <c r="AW139" s="100"/>
      <c r="AX139" s="100"/>
    </row>
    <row r="140" spans="3:50" s="47" customFormat="1" ht="14.25">
      <c r="L140" s="51"/>
      <c r="P140" s="100"/>
      <c r="Q140" s="104"/>
      <c r="R140" s="100"/>
      <c r="T140" s="100"/>
      <c r="W140" s="100"/>
      <c r="AK140" s="84"/>
      <c r="AQ140" s="100"/>
      <c r="AR140" s="100"/>
      <c r="AS140" s="100"/>
      <c r="AT140" s="100"/>
      <c r="AU140" s="100"/>
      <c r="AV140" s="100"/>
      <c r="AW140" s="100"/>
      <c r="AX140" s="100"/>
    </row>
    <row r="141" spans="3:50" s="47" customFormat="1" ht="14.25">
      <c r="L141" s="51"/>
      <c r="P141" s="100"/>
      <c r="Q141" s="104"/>
      <c r="R141" s="100"/>
      <c r="T141" s="100"/>
      <c r="W141" s="100"/>
      <c r="AK141" s="84"/>
      <c r="AQ141" s="100"/>
      <c r="AR141" s="100"/>
      <c r="AS141" s="100"/>
      <c r="AT141" s="100"/>
      <c r="AU141" s="100"/>
      <c r="AV141" s="100"/>
      <c r="AW141" s="100"/>
      <c r="AX141" s="100"/>
    </row>
    <row r="142" spans="3:50" s="47" customFormat="1" ht="14.25">
      <c r="L142" s="51"/>
      <c r="P142" s="100"/>
      <c r="Q142" s="104"/>
      <c r="R142" s="100"/>
      <c r="T142" s="100"/>
      <c r="W142" s="100"/>
      <c r="AK142" s="84"/>
      <c r="AQ142" s="100"/>
      <c r="AR142" s="100"/>
      <c r="AS142" s="100"/>
      <c r="AT142" s="100"/>
      <c r="AU142" s="100"/>
      <c r="AV142" s="100"/>
      <c r="AW142" s="100"/>
      <c r="AX142" s="100"/>
    </row>
    <row r="143" spans="3:50" s="47" customFormat="1" ht="14.25">
      <c r="L143" s="51"/>
      <c r="P143" s="100"/>
      <c r="Q143" s="104"/>
      <c r="R143" s="100"/>
      <c r="T143" s="100"/>
      <c r="W143" s="100"/>
      <c r="AK143" s="84"/>
      <c r="AQ143" s="100"/>
      <c r="AR143" s="100"/>
      <c r="AS143" s="100"/>
      <c r="AT143" s="100"/>
      <c r="AU143" s="100"/>
      <c r="AV143" s="100"/>
      <c r="AW143" s="100"/>
      <c r="AX143" s="100"/>
    </row>
    <row r="144" spans="3:50" s="47" customFormat="1" ht="14.25">
      <c r="L144" s="51"/>
      <c r="P144" s="100"/>
      <c r="Q144" s="104"/>
      <c r="R144" s="100"/>
      <c r="T144" s="100"/>
      <c r="W144" s="100"/>
      <c r="AK144" s="84"/>
      <c r="AQ144" s="100"/>
      <c r="AR144" s="100"/>
      <c r="AS144" s="100"/>
      <c r="AT144" s="100"/>
      <c r="AU144" s="100"/>
      <c r="AV144" s="100"/>
      <c r="AW144" s="100"/>
      <c r="AX144" s="100"/>
    </row>
    <row r="145" spans="12:50" s="47" customFormat="1" ht="14.25">
      <c r="L145" s="51"/>
      <c r="P145" s="100"/>
      <c r="Q145" s="104"/>
      <c r="R145" s="100"/>
      <c r="T145" s="100"/>
      <c r="W145" s="100"/>
      <c r="AK145" s="84"/>
      <c r="AQ145" s="100"/>
      <c r="AR145" s="100"/>
      <c r="AS145" s="100"/>
      <c r="AT145" s="100"/>
      <c r="AU145" s="100"/>
      <c r="AV145" s="100"/>
      <c r="AW145" s="100"/>
      <c r="AX145" s="100"/>
    </row>
    <row r="146" spans="12:50" s="47" customFormat="1" ht="14.25">
      <c r="L146" s="51"/>
      <c r="P146" s="100"/>
      <c r="Q146" s="104"/>
      <c r="R146" s="100"/>
      <c r="T146" s="100"/>
      <c r="W146" s="100"/>
      <c r="AK146" s="84"/>
      <c r="AQ146" s="100"/>
      <c r="AR146" s="100"/>
      <c r="AS146" s="100"/>
      <c r="AT146" s="100"/>
      <c r="AU146" s="100"/>
      <c r="AV146" s="100"/>
      <c r="AW146" s="100"/>
      <c r="AX146" s="100"/>
    </row>
    <row r="147" spans="12:50" s="47" customFormat="1" ht="14.25">
      <c r="L147" s="51"/>
      <c r="P147" s="100"/>
      <c r="Q147" s="104"/>
      <c r="R147" s="100"/>
      <c r="T147" s="100"/>
      <c r="W147" s="100"/>
      <c r="AK147" s="84"/>
      <c r="AQ147" s="100"/>
      <c r="AR147" s="100"/>
      <c r="AS147" s="100"/>
      <c r="AT147" s="100"/>
      <c r="AU147" s="100"/>
      <c r="AV147" s="100"/>
      <c r="AW147" s="100"/>
      <c r="AX147" s="100"/>
    </row>
    <row r="148" spans="12:50" s="47" customFormat="1" ht="14.25">
      <c r="L148" s="51"/>
      <c r="P148" s="100"/>
      <c r="Q148" s="104"/>
      <c r="R148" s="100"/>
      <c r="T148" s="100"/>
      <c r="W148" s="100"/>
      <c r="AK148" s="84"/>
      <c r="AQ148" s="100"/>
      <c r="AR148" s="100"/>
      <c r="AS148" s="100"/>
      <c r="AT148" s="100"/>
      <c r="AU148" s="100"/>
      <c r="AV148" s="100"/>
      <c r="AW148" s="100"/>
      <c r="AX148" s="100"/>
    </row>
    <row r="149" spans="12:50" s="47" customFormat="1" ht="14.25">
      <c r="L149" s="51"/>
      <c r="P149" s="100"/>
      <c r="Q149" s="104"/>
      <c r="R149" s="100"/>
      <c r="T149" s="100"/>
      <c r="W149" s="100"/>
      <c r="AK149" s="84"/>
      <c r="AQ149" s="100"/>
      <c r="AR149" s="100"/>
      <c r="AS149" s="100"/>
      <c r="AT149" s="100"/>
      <c r="AU149" s="100"/>
      <c r="AV149" s="100"/>
      <c r="AW149" s="100"/>
      <c r="AX149" s="100"/>
    </row>
    <row r="150" spans="12:50" s="47" customFormat="1" ht="14.25">
      <c r="L150" s="51"/>
      <c r="P150" s="100"/>
      <c r="Q150" s="104"/>
      <c r="R150" s="100"/>
      <c r="T150" s="100"/>
      <c r="W150" s="100"/>
      <c r="AK150" s="84"/>
      <c r="AQ150" s="100"/>
      <c r="AR150" s="100"/>
      <c r="AS150" s="100"/>
      <c r="AT150" s="100"/>
      <c r="AU150" s="100"/>
      <c r="AV150" s="100"/>
      <c r="AW150" s="100"/>
      <c r="AX150" s="100"/>
    </row>
    <row r="151" spans="12:50" s="47" customFormat="1" ht="14.25">
      <c r="L151" s="51"/>
      <c r="P151" s="100"/>
      <c r="Q151" s="104"/>
      <c r="R151" s="100"/>
      <c r="T151" s="100"/>
      <c r="W151" s="100"/>
      <c r="AK151" s="84"/>
      <c r="AQ151" s="100"/>
      <c r="AR151" s="100"/>
      <c r="AS151" s="100"/>
      <c r="AT151" s="100"/>
      <c r="AU151" s="100"/>
      <c r="AV151" s="100"/>
      <c r="AW151" s="100"/>
      <c r="AX151" s="100"/>
    </row>
    <row r="152" spans="12:50" s="47" customFormat="1" ht="14.25">
      <c r="L152" s="51"/>
      <c r="P152" s="100"/>
      <c r="Q152" s="104"/>
      <c r="R152" s="100"/>
      <c r="T152" s="100"/>
      <c r="W152" s="100"/>
      <c r="AK152" s="84"/>
      <c r="AQ152" s="100"/>
      <c r="AR152" s="100"/>
      <c r="AS152" s="100"/>
      <c r="AT152" s="100"/>
      <c r="AU152" s="100"/>
      <c r="AV152" s="100"/>
      <c r="AW152" s="100"/>
      <c r="AX152" s="100"/>
    </row>
    <row r="153" spans="12:50" s="47" customFormat="1" ht="14.25">
      <c r="L153" s="51"/>
      <c r="P153" s="100"/>
      <c r="Q153" s="104"/>
      <c r="R153" s="100"/>
      <c r="T153" s="100"/>
      <c r="W153" s="100"/>
      <c r="AK153" s="84"/>
      <c r="AQ153" s="100"/>
      <c r="AR153" s="100"/>
      <c r="AS153" s="100"/>
      <c r="AT153" s="100"/>
      <c r="AU153" s="100"/>
      <c r="AV153" s="100"/>
      <c r="AW153" s="100"/>
      <c r="AX153" s="100"/>
    </row>
    <row r="154" spans="12:50" s="47" customFormat="1" ht="14.25">
      <c r="L154" s="51"/>
      <c r="P154" s="100"/>
      <c r="Q154" s="104"/>
      <c r="R154" s="100"/>
      <c r="T154" s="100"/>
      <c r="W154" s="100"/>
      <c r="AK154" s="84"/>
      <c r="AQ154" s="100"/>
      <c r="AR154" s="100"/>
      <c r="AS154" s="100"/>
      <c r="AT154" s="100"/>
      <c r="AU154" s="100"/>
      <c r="AV154" s="100"/>
      <c r="AW154" s="100"/>
      <c r="AX154" s="100"/>
    </row>
    <row r="155" spans="12:50" s="47" customFormat="1" ht="14.25">
      <c r="L155" s="51"/>
      <c r="P155" s="100"/>
      <c r="Q155" s="104"/>
      <c r="R155" s="100"/>
      <c r="T155" s="100"/>
      <c r="W155" s="100"/>
      <c r="AK155" s="84"/>
      <c r="AQ155" s="100"/>
      <c r="AR155" s="100"/>
      <c r="AS155" s="100"/>
      <c r="AT155" s="100"/>
      <c r="AU155" s="100"/>
      <c r="AV155" s="100"/>
      <c r="AW155" s="100"/>
      <c r="AX155" s="100"/>
    </row>
    <row r="156" spans="12:50" s="47" customFormat="1" ht="14.25">
      <c r="L156" s="51"/>
      <c r="P156" s="100"/>
      <c r="Q156" s="104"/>
      <c r="R156" s="100"/>
      <c r="T156" s="100"/>
      <c r="W156" s="100"/>
      <c r="AK156" s="84"/>
      <c r="AQ156" s="100"/>
      <c r="AR156" s="100"/>
      <c r="AS156" s="100"/>
      <c r="AT156" s="100"/>
      <c r="AU156" s="100"/>
      <c r="AV156" s="100"/>
      <c r="AW156" s="100"/>
      <c r="AX156" s="100"/>
    </row>
    <row r="157" spans="12:50" s="47" customFormat="1" ht="14.25">
      <c r="L157" s="51"/>
      <c r="P157" s="100"/>
      <c r="Q157" s="104"/>
      <c r="R157" s="100"/>
      <c r="T157" s="100"/>
      <c r="W157" s="100"/>
      <c r="AK157" s="84"/>
      <c r="AQ157" s="100"/>
      <c r="AR157" s="100"/>
      <c r="AS157" s="100"/>
      <c r="AT157" s="100"/>
      <c r="AU157" s="100"/>
      <c r="AV157" s="100"/>
      <c r="AW157" s="100"/>
      <c r="AX157" s="100"/>
    </row>
    <row r="158" spans="12:50" s="47" customFormat="1" ht="14.25">
      <c r="L158" s="51"/>
      <c r="P158" s="100"/>
      <c r="Q158" s="104"/>
      <c r="R158" s="100"/>
      <c r="T158" s="100"/>
      <c r="W158" s="100"/>
      <c r="AK158" s="84"/>
      <c r="AQ158" s="100"/>
      <c r="AR158" s="100"/>
      <c r="AS158" s="100"/>
      <c r="AT158" s="100"/>
      <c r="AU158" s="100"/>
      <c r="AV158" s="100"/>
      <c r="AW158" s="100"/>
      <c r="AX158" s="100"/>
    </row>
    <row r="159" spans="12:50" s="47" customFormat="1" ht="14.25">
      <c r="L159" s="51"/>
      <c r="P159" s="100"/>
      <c r="Q159" s="104"/>
      <c r="R159" s="100"/>
      <c r="T159" s="100"/>
      <c r="W159" s="100"/>
      <c r="AK159" s="84"/>
      <c r="AQ159" s="100"/>
      <c r="AR159" s="100"/>
      <c r="AS159" s="100"/>
      <c r="AT159" s="100"/>
      <c r="AU159" s="100"/>
      <c r="AV159" s="100"/>
      <c r="AW159" s="100"/>
      <c r="AX159" s="100"/>
    </row>
    <row r="160" spans="12:50" s="47" customFormat="1" ht="14.25">
      <c r="L160" s="51"/>
      <c r="P160" s="100"/>
      <c r="Q160" s="104"/>
      <c r="R160" s="100"/>
      <c r="T160" s="100"/>
      <c r="W160" s="100"/>
      <c r="AK160" s="84"/>
      <c r="AQ160" s="100"/>
      <c r="AR160" s="100"/>
      <c r="AS160" s="100"/>
      <c r="AT160" s="100"/>
      <c r="AU160" s="100"/>
      <c r="AV160" s="100"/>
      <c r="AW160" s="100"/>
      <c r="AX160" s="100"/>
    </row>
    <row r="161" spans="12:50" s="47" customFormat="1" ht="14.25">
      <c r="L161" s="51"/>
      <c r="P161" s="100"/>
      <c r="Q161" s="104"/>
      <c r="R161" s="100"/>
      <c r="T161" s="100"/>
      <c r="W161" s="100"/>
      <c r="AK161" s="84"/>
      <c r="AQ161" s="100"/>
      <c r="AR161" s="100"/>
      <c r="AS161" s="100"/>
      <c r="AT161" s="100"/>
      <c r="AU161" s="100"/>
      <c r="AV161" s="100"/>
      <c r="AW161" s="100"/>
      <c r="AX161" s="100"/>
    </row>
    <row r="162" spans="12:50" s="47" customFormat="1" ht="14.25">
      <c r="L162" s="51"/>
      <c r="P162" s="100"/>
      <c r="Q162" s="104"/>
      <c r="R162" s="100"/>
      <c r="T162" s="100"/>
      <c r="W162" s="100"/>
      <c r="AK162" s="84"/>
      <c r="AQ162" s="100"/>
      <c r="AR162" s="100"/>
      <c r="AS162" s="100"/>
      <c r="AT162" s="100"/>
      <c r="AU162" s="100"/>
      <c r="AV162" s="100"/>
      <c r="AW162" s="100"/>
      <c r="AX162" s="100"/>
    </row>
    <row r="163" spans="12:50" s="47" customFormat="1" ht="14.25">
      <c r="L163" s="51"/>
      <c r="P163" s="100"/>
      <c r="Q163" s="104"/>
      <c r="R163" s="100"/>
      <c r="T163" s="100"/>
      <c r="W163" s="100"/>
      <c r="AK163" s="84"/>
      <c r="AQ163" s="100"/>
      <c r="AR163" s="100"/>
      <c r="AS163" s="100"/>
      <c r="AT163" s="100"/>
      <c r="AU163" s="100"/>
      <c r="AV163" s="100"/>
      <c r="AW163" s="100"/>
      <c r="AX163" s="100"/>
    </row>
    <row r="164" spans="12:50" s="47" customFormat="1" ht="14.25">
      <c r="L164" s="51"/>
      <c r="P164" s="100"/>
      <c r="Q164" s="104"/>
      <c r="R164" s="100"/>
      <c r="T164" s="100"/>
      <c r="W164" s="100"/>
      <c r="AK164" s="84"/>
      <c r="AQ164" s="100"/>
      <c r="AR164" s="100"/>
      <c r="AS164" s="100"/>
      <c r="AT164" s="100"/>
      <c r="AU164" s="100"/>
      <c r="AV164" s="100"/>
      <c r="AW164" s="100"/>
      <c r="AX164" s="100"/>
    </row>
    <row r="165" spans="12:50" s="47" customFormat="1" ht="14.25">
      <c r="L165" s="51"/>
      <c r="P165" s="100"/>
      <c r="Q165" s="104"/>
      <c r="R165" s="100"/>
      <c r="T165" s="100"/>
      <c r="W165" s="100"/>
      <c r="AK165" s="84"/>
      <c r="AQ165" s="100"/>
      <c r="AR165" s="100"/>
      <c r="AS165" s="100"/>
      <c r="AT165" s="100"/>
      <c r="AU165" s="100"/>
      <c r="AV165" s="100"/>
      <c r="AW165" s="100"/>
      <c r="AX165" s="100"/>
    </row>
    <row r="166" spans="12:50" s="47" customFormat="1" ht="14.25">
      <c r="L166" s="51"/>
      <c r="P166" s="100"/>
      <c r="Q166" s="104"/>
      <c r="R166" s="100"/>
      <c r="T166" s="100"/>
      <c r="W166" s="100"/>
      <c r="AK166" s="84"/>
      <c r="AQ166" s="100"/>
      <c r="AR166" s="100"/>
      <c r="AS166" s="100"/>
      <c r="AT166" s="100"/>
      <c r="AU166" s="100"/>
      <c r="AV166" s="100"/>
      <c r="AW166" s="100"/>
      <c r="AX166" s="100"/>
    </row>
    <row r="167" spans="12:50" s="47" customFormat="1" ht="14.25">
      <c r="L167" s="51"/>
      <c r="P167" s="100"/>
      <c r="Q167" s="104"/>
      <c r="R167" s="100"/>
      <c r="T167" s="100"/>
      <c r="W167" s="100"/>
      <c r="AK167" s="84"/>
      <c r="AQ167" s="100"/>
      <c r="AR167" s="100"/>
      <c r="AS167" s="100"/>
      <c r="AT167" s="100"/>
      <c r="AU167" s="100"/>
      <c r="AV167" s="100"/>
      <c r="AW167" s="100"/>
      <c r="AX167" s="100"/>
    </row>
    <row r="168" spans="12:50" s="47" customFormat="1" ht="14.25">
      <c r="L168" s="51"/>
      <c r="P168" s="100"/>
      <c r="Q168" s="104"/>
      <c r="R168" s="100"/>
      <c r="T168" s="100"/>
      <c r="W168" s="100"/>
      <c r="AK168" s="84"/>
      <c r="AQ168" s="100"/>
      <c r="AR168" s="100"/>
      <c r="AS168" s="100"/>
      <c r="AT168" s="100"/>
      <c r="AU168" s="100"/>
      <c r="AV168" s="100"/>
      <c r="AW168" s="100"/>
      <c r="AX168" s="100"/>
    </row>
    <row r="169" spans="12:50" s="47" customFormat="1" ht="14.25">
      <c r="L169" s="51"/>
      <c r="P169" s="100"/>
      <c r="Q169" s="104"/>
      <c r="R169" s="100"/>
      <c r="T169" s="100"/>
      <c r="W169" s="100"/>
      <c r="AK169" s="84"/>
      <c r="AQ169" s="100"/>
      <c r="AR169" s="100"/>
      <c r="AS169" s="100"/>
      <c r="AT169" s="100"/>
      <c r="AU169" s="100"/>
      <c r="AV169" s="100"/>
      <c r="AW169" s="100"/>
      <c r="AX169" s="100"/>
    </row>
    <row r="170" spans="12:50" s="47" customFormat="1" ht="14.25">
      <c r="L170" s="51"/>
      <c r="P170" s="100"/>
      <c r="Q170" s="104"/>
      <c r="R170" s="100"/>
      <c r="T170" s="100"/>
      <c r="W170" s="100"/>
      <c r="AK170" s="84"/>
      <c r="AQ170" s="100"/>
      <c r="AR170" s="100"/>
      <c r="AS170" s="100"/>
      <c r="AT170" s="100"/>
      <c r="AU170" s="100"/>
      <c r="AV170" s="100"/>
      <c r="AW170" s="100"/>
      <c r="AX170" s="100"/>
    </row>
    <row r="171" spans="12:50" s="47" customFormat="1" ht="14.25">
      <c r="L171" s="51"/>
      <c r="P171" s="100"/>
      <c r="Q171" s="104"/>
      <c r="R171" s="100"/>
      <c r="T171" s="100"/>
      <c r="W171" s="100"/>
      <c r="AK171" s="84"/>
      <c r="AQ171" s="100"/>
      <c r="AR171" s="100"/>
      <c r="AS171" s="100"/>
      <c r="AT171" s="100"/>
      <c r="AU171" s="100"/>
      <c r="AV171" s="100"/>
      <c r="AW171" s="100"/>
      <c r="AX171" s="100"/>
    </row>
    <row r="172" spans="12:50" s="47" customFormat="1" ht="14.25">
      <c r="L172" s="51"/>
      <c r="P172" s="100"/>
      <c r="Q172" s="104"/>
      <c r="R172" s="100"/>
      <c r="T172" s="100"/>
      <c r="W172" s="100"/>
      <c r="AK172" s="84"/>
      <c r="AQ172" s="100"/>
      <c r="AR172" s="100"/>
      <c r="AS172" s="100"/>
      <c r="AT172" s="100"/>
      <c r="AU172" s="100"/>
      <c r="AV172" s="100"/>
      <c r="AW172" s="100"/>
      <c r="AX172" s="100"/>
    </row>
    <row r="173" spans="12:50" s="47" customFormat="1" ht="14.25">
      <c r="L173" s="51"/>
      <c r="P173" s="100"/>
      <c r="Q173" s="104"/>
      <c r="R173" s="100"/>
      <c r="T173" s="100"/>
      <c r="W173" s="100"/>
      <c r="AK173" s="84"/>
      <c r="AQ173" s="100"/>
      <c r="AR173" s="100"/>
      <c r="AS173" s="100"/>
      <c r="AT173" s="100"/>
      <c r="AU173" s="100"/>
      <c r="AV173" s="100"/>
      <c r="AW173" s="100"/>
      <c r="AX173" s="100"/>
    </row>
    <row r="174" spans="12:50" s="47" customFormat="1" ht="14.25">
      <c r="L174" s="51"/>
      <c r="P174" s="100"/>
      <c r="Q174" s="104"/>
      <c r="R174" s="100"/>
      <c r="T174" s="100"/>
      <c r="W174" s="100"/>
      <c r="AK174" s="84"/>
      <c r="AQ174" s="100"/>
      <c r="AR174" s="100"/>
      <c r="AS174" s="100"/>
      <c r="AT174" s="100"/>
      <c r="AU174" s="100"/>
      <c r="AV174" s="100"/>
      <c r="AW174" s="100"/>
      <c r="AX174" s="100"/>
    </row>
    <row r="175" spans="12:50" s="47" customFormat="1" ht="14.25">
      <c r="L175" s="51"/>
      <c r="P175" s="100"/>
      <c r="Q175" s="104"/>
      <c r="R175" s="100"/>
      <c r="T175" s="100"/>
      <c r="W175" s="100"/>
      <c r="AK175" s="84"/>
      <c r="AQ175" s="100"/>
      <c r="AR175" s="100"/>
      <c r="AS175" s="100"/>
      <c r="AT175" s="100"/>
      <c r="AU175" s="100"/>
      <c r="AV175" s="100"/>
      <c r="AW175" s="100"/>
      <c r="AX175" s="100"/>
    </row>
    <row r="176" spans="12:50" s="47" customFormat="1" ht="14.25">
      <c r="L176" s="51"/>
      <c r="P176" s="100"/>
      <c r="Q176" s="104"/>
      <c r="R176" s="100"/>
      <c r="T176" s="100"/>
      <c r="W176" s="100"/>
      <c r="AK176" s="84"/>
      <c r="AQ176" s="100"/>
      <c r="AR176" s="100"/>
      <c r="AS176" s="100"/>
      <c r="AT176" s="100"/>
      <c r="AU176" s="100"/>
      <c r="AV176" s="100"/>
      <c r="AW176" s="100"/>
      <c r="AX176" s="100"/>
    </row>
    <row r="177" spans="12:50" s="47" customFormat="1" ht="14.25">
      <c r="L177" s="51"/>
      <c r="P177" s="100"/>
      <c r="Q177" s="104"/>
      <c r="R177" s="100"/>
      <c r="T177" s="100"/>
      <c r="W177" s="100"/>
      <c r="AK177" s="84"/>
      <c r="AQ177" s="100"/>
      <c r="AR177" s="100"/>
      <c r="AS177" s="100"/>
      <c r="AT177" s="100"/>
      <c r="AU177" s="100"/>
      <c r="AV177" s="100"/>
      <c r="AW177" s="100"/>
      <c r="AX177" s="100"/>
    </row>
    <row r="178" spans="12:50" s="47" customFormat="1" ht="14.25">
      <c r="L178" s="51"/>
      <c r="P178" s="100"/>
      <c r="Q178" s="104"/>
      <c r="R178" s="100"/>
      <c r="T178" s="100"/>
      <c r="W178" s="100"/>
      <c r="AK178" s="84"/>
      <c r="AQ178" s="100"/>
      <c r="AR178" s="100"/>
      <c r="AS178" s="100"/>
      <c r="AT178" s="100"/>
      <c r="AU178" s="100"/>
      <c r="AV178" s="100"/>
      <c r="AW178" s="100"/>
      <c r="AX178" s="100"/>
    </row>
    <row r="179" spans="12:50" s="47" customFormat="1" ht="14.25">
      <c r="L179" s="51"/>
      <c r="P179" s="100"/>
      <c r="Q179" s="104"/>
      <c r="R179" s="100"/>
      <c r="T179" s="100"/>
      <c r="W179" s="100"/>
      <c r="AK179" s="84"/>
      <c r="AQ179" s="100"/>
      <c r="AR179" s="100"/>
      <c r="AS179" s="100"/>
      <c r="AT179" s="100"/>
      <c r="AU179" s="100"/>
      <c r="AV179" s="100"/>
      <c r="AW179" s="100"/>
      <c r="AX179" s="100"/>
    </row>
    <row r="180" spans="12:50" s="47" customFormat="1" ht="14.25">
      <c r="L180" s="51"/>
      <c r="P180" s="100"/>
      <c r="Q180" s="104"/>
      <c r="R180" s="100"/>
      <c r="T180" s="100"/>
      <c r="W180" s="100"/>
      <c r="AK180" s="84"/>
      <c r="AQ180" s="100"/>
      <c r="AR180" s="100"/>
      <c r="AS180" s="100"/>
      <c r="AT180" s="100"/>
      <c r="AU180" s="100"/>
      <c r="AV180" s="100"/>
      <c r="AW180" s="100"/>
      <c r="AX180" s="100"/>
    </row>
    <row r="181" spans="12:50" s="47" customFormat="1" ht="14.25">
      <c r="L181" s="51"/>
      <c r="P181" s="100"/>
      <c r="Q181" s="104"/>
      <c r="R181" s="100"/>
      <c r="T181" s="100"/>
      <c r="W181" s="100"/>
      <c r="AK181" s="84"/>
      <c r="AQ181" s="100"/>
      <c r="AR181" s="100"/>
      <c r="AS181" s="100"/>
      <c r="AT181" s="100"/>
      <c r="AU181" s="100"/>
      <c r="AV181" s="100"/>
      <c r="AW181" s="100"/>
      <c r="AX181" s="100"/>
    </row>
    <row r="182" spans="12:50" s="47" customFormat="1" ht="14.25">
      <c r="L182" s="51"/>
      <c r="P182" s="100"/>
      <c r="Q182" s="104"/>
      <c r="R182" s="100"/>
      <c r="T182" s="100"/>
      <c r="W182" s="100"/>
      <c r="AK182" s="84"/>
      <c r="AQ182" s="100"/>
      <c r="AR182" s="100"/>
      <c r="AS182" s="100"/>
      <c r="AT182" s="100"/>
      <c r="AU182" s="100"/>
      <c r="AV182" s="100"/>
      <c r="AW182" s="100"/>
      <c r="AX182" s="100"/>
    </row>
    <row r="183" spans="12:50" s="47" customFormat="1" ht="14.25">
      <c r="L183" s="51"/>
      <c r="P183" s="100"/>
      <c r="Q183" s="104"/>
      <c r="R183" s="100"/>
      <c r="T183" s="100"/>
      <c r="W183" s="100"/>
      <c r="AK183" s="84"/>
      <c r="AQ183" s="100"/>
      <c r="AR183" s="100"/>
      <c r="AS183" s="100"/>
      <c r="AT183" s="100"/>
      <c r="AU183" s="100"/>
      <c r="AV183" s="100"/>
      <c r="AW183" s="100"/>
      <c r="AX183" s="100"/>
    </row>
    <row r="184" spans="12:50" s="47" customFormat="1" ht="14.25">
      <c r="L184" s="51"/>
      <c r="P184" s="100"/>
      <c r="Q184" s="104"/>
      <c r="R184" s="100"/>
      <c r="T184" s="100"/>
      <c r="W184" s="100"/>
      <c r="AK184" s="84"/>
      <c r="AQ184" s="100"/>
      <c r="AR184" s="100"/>
      <c r="AS184" s="100"/>
      <c r="AT184" s="100"/>
      <c r="AU184" s="100"/>
      <c r="AV184" s="100"/>
      <c r="AW184" s="100"/>
      <c r="AX184" s="100"/>
    </row>
    <row r="185" spans="12:50" s="47" customFormat="1" ht="14.25">
      <c r="L185" s="51"/>
      <c r="P185" s="100"/>
      <c r="Q185" s="104"/>
      <c r="R185" s="100"/>
      <c r="T185" s="100"/>
      <c r="W185" s="100"/>
      <c r="AK185" s="84"/>
      <c r="AQ185" s="100"/>
      <c r="AR185" s="100"/>
      <c r="AS185" s="100"/>
      <c r="AT185" s="100"/>
      <c r="AU185" s="100"/>
      <c r="AV185" s="100"/>
      <c r="AW185" s="100"/>
      <c r="AX185" s="100"/>
    </row>
    <row r="186" spans="12:50" s="47" customFormat="1" ht="14.25">
      <c r="L186" s="51"/>
      <c r="P186" s="100"/>
      <c r="Q186" s="104"/>
      <c r="R186" s="100"/>
      <c r="T186" s="100"/>
      <c r="W186" s="100"/>
      <c r="AK186" s="84"/>
      <c r="AQ186" s="100"/>
      <c r="AR186" s="100"/>
      <c r="AS186" s="100"/>
      <c r="AT186" s="100"/>
      <c r="AU186" s="100"/>
      <c r="AV186" s="100"/>
      <c r="AW186" s="100"/>
      <c r="AX186" s="100"/>
    </row>
    <row r="187" spans="12:50" s="47" customFormat="1" ht="14.25">
      <c r="L187" s="51"/>
      <c r="P187" s="100"/>
      <c r="Q187" s="104"/>
      <c r="R187" s="100"/>
      <c r="T187" s="100"/>
      <c r="W187" s="100"/>
      <c r="AK187" s="84"/>
      <c r="AQ187" s="100"/>
      <c r="AR187" s="100"/>
      <c r="AS187" s="100"/>
      <c r="AT187" s="100"/>
      <c r="AU187" s="100"/>
      <c r="AV187" s="100"/>
      <c r="AW187" s="100"/>
      <c r="AX187" s="100"/>
    </row>
    <row r="188" spans="12:50" s="47" customFormat="1" ht="14.25">
      <c r="L188" s="51"/>
      <c r="P188" s="100"/>
      <c r="Q188" s="104"/>
      <c r="R188" s="100"/>
      <c r="T188" s="100"/>
      <c r="W188" s="100"/>
      <c r="AK188" s="84"/>
      <c r="AQ188" s="100"/>
      <c r="AR188" s="100"/>
      <c r="AS188" s="100"/>
      <c r="AT188" s="100"/>
      <c r="AU188" s="100"/>
      <c r="AV188" s="100"/>
      <c r="AW188" s="100"/>
      <c r="AX188" s="100"/>
    </row>
    <row r="189" spans="12:50" s="47" customFormat="1" ht="14.25">
      <c r="L189" s="51"/>
      <c r="P189" s="100"/>
      <c r="Q189" s="104"/>
      <c r="R189" s="100"/>
      <c r="T189" s="100"/>
      <c r="W189" s="100"/>
      <c r="AK189" s="84"/>
      <c r="AQ189" s="100"/>
      <c r="AR189" s="100"/>
      <c r="AS189" s="100"/>
      <c r="AT189" s="100"/>
      <c r="AU189" s="100"/>
      <c r="AV189" s="100"/>
      <c r="AW189" s="100"/>
      <c r="AX189" s="100"/>
    </row>
    <row r="190" spans="12:50" s="47" customFormat="1" ht="14.25">
      <c r="L190" s="51"/>
      <c r="P190" s="100"/>
      <c r="Q190" s="104"/>
      <c r="R190" s="100"/>
      <c r="T190" s="100"/>
      <c r="W190" s="100"/>
      <c r="AK190" s="84"/>
      <c r="AQ190" s="100"/>
      <c r="AR190" s="100"/>
      <c r="AS190" s="100"/>
      <c r="AT190" s="100"/>
      <c r="AU190" s="100"/>
      <c r="AV190" s="100"/>
      <c r="AW190" s="100"/>
      <c r="AX190" s="100"/>
    </row>
    <row r="191" spans="12:50" s="47" customFormat="1" ht="14.25">
      <c r="L191" s="51"/>
      <c r="P191" s="100"/>
      <c r="Q191" s="104"/>
      <c r="R191" s="100"/>
      <c r="T191" s="100"/>
      <c r="W191" s="100"/>
      <c r="AK191" s="84"/>
      <c r="AQ191" s="100"/>
      <c r="AR191" s="100"/>
      <c r="AS191" s="100"/>
      <c r="AT191" s="100"/>
      <c r="AU191" s="100"/>
      <c r="AV191" s="100"/>
      <c r="AW191" s="100"/>
      <c r="AX191" s="100"/>
    </row>
    <row r="192" spans="12:50" s="47" customFormat="1" ht="14.25">
      <c r="L192" s="51"/>
      <c r="P192" s="100"/>
      <c r="Q192" s="104"/>
      <c r="R192" s="100"/>
      <c r="T192" s="100"/>
      <c r="W192" s="100"/>
      <c r="AK192" s="84"/>
      <c r="AQ192" s="100"/>
      <c r="AR192" s="100"/>
      <c r="AS192" s="100"/>
      <c r="AT192" s="100"/>
      <c r="AU192" s="100"/>
      <c r="AV192" s="100"/>
      <c r="AW192" s="100"/>
      <c r="AX192" s="100"/>
    </row>
    <row r="193" spans="12:50" s="47" customFormat="1" ht="14.25">
      <c r="L193" s="51"/>
      <c r="P193" s="100"/>
      <c r="Q193" s="104"/>
      <c r="R193" s="100"/>
      <c r="T193" s="100"/>
      <c r="W193" s="100"/>
      <c r="AK193" s="84"/>
      <c r="AQ193" s="100"/>
      <c r="AR193" s="100"/>
      <c r="AS193" s="100"/>
      <c r="AT193" s="100"/>
      <c r="AU193" s="100"/>
      <c r="AV193" s="100"/>
      <c r="AW193" s="100"/>
      <c r="AX193" s="100"/>
    </row>
    <row r="194" spans="12:50" s="47" customFormat="1" ht="14.25">
      <c r="L194" s="51"/>
      <c r="P194" s="100"/>
      <c r="Q194" s="104"/>
      <c r="R194" s="100"/>
      <c r="T194" s="100"/>
      <c r="W194" s="100"/>
      <c r="AK194" s="84"/>
      <c r="AQ194" s="100"/>
      <c r="AR194" s="100"/>
      <c r="AS194" s="100"/>
      <c r="AT194" s="100"/>
      <c r="AU194" s="100"/>
      <c r="AV194" s="100"/>
      <c r="AW194" s="100"/>
      <c r="AX194" s="100"/>
    </row>
    <row r="195" spans="12:50" s="47" customFormat="1" ht="14.25">
      <c r="L195" s="51"/>
      <c r="P195" s="100"/>
      <c r="Q195" s="104"/>
      <c r="R195" s="100"/>
      <c r="T195" s="100"/>
      <c r="W195" s="100"/>
      <c r="AK195" s="84"/>
      <c r="AQ195" s="100"/>
      <c r="AR195" s="100"/>
      <c r="AS195" s="100"/>
      <c r="AT195" s="100"/>
      <c r="AU195" s="100"/>
      <c r="AV195" s="100"/>
      <c r="AW195" s="100"/>
      <c r="AX195" s="100"/>
    </row>
    <row r="196" spans="12:50" s="47" customFormat="1" ht="14.25">
      <c r="L196" s="51"/>
      <c r="P196" s="100"/>
      <c r="Q196" s="104"/>
      <c r="R196" s="100"/>
      <c r="T196" s="100"/>
      <c r="W196" s="100"/>
      <c r="AK196" s="84"/>
      <c r="AQ196" s="100"/>
      <c r="AR196" s="100"/>
      <c r="AS196" s="100"/>
      <c r="AT196" s="100"/>
      <c r="AU196" s="100"/>
      <c r="AV196" s="100"/>
      <c r="AW196" s="100"/>
      <c r="AX196" s="100"/>
    </row>
    <row r="197" spans="12:50" s="47" customFormat="1" ht="14.25">
      <c r="L197" s="51"/>
      <c r="P197" s="100"/>
      <c r="Q197" s="104"/>
      <c r="R197" s="100"/>
      <c r="T197" s="100"/>
      <c r="W197" s="100"/>
      <c r="AK197" s="84"/>
      <c r="AQ197" s="100"/>
      <c r="AR197" s="100"/>
      <c r="AS197" s="100"/>
      <c r="AT197" s="100"/>
      <c r="AU197" s="100"/>
      <c r="AV197" s="100"/>
      <c r="AW197" s="100"/>
      <c r="AX197" s="100"/>
    </row>
    <row r="198" spans="12:50" s="47" customFormat="1" ht="14.25">
      <c r="L198" s="51"/>
      <c r="P198" s="100"/>
      <c r="Q198" s="104"/>
      <c r="R198" s="100"/>
      <c r="T198" s="100"/>
      <c r="W198" s="100"/>
      <c r="AK198" s="84"/>
      <c r="AQ198" s="100"/>
      <c r="AR198" s="100"/>
      <c r="AS198" s="100"/>
      <c r="AT198" s="100"/>
      <c r="AU198" s="100"/>
      <c r="AV198" s="100"/>
      <c r="AW198" s="100"/>
      <c r="AX198" s="100"/>
    </row>
    <row r="199" spans="12:50" s="47" customFormat="1" ht="14.25">
      <c r="L199" s="51"/>
      <c r="P199" s="100"/>
      <c r="Q199" s="104"/>
      <c r="R199" s="100"/>
      <c r="T199" s="100"/>
      <c r="W199" s="100"/>
      <c r="AK199" s="84"/>
      <c r="AQ199" s="100"/>
      <c r="AR199" s="100"/>
      <c r="AS199" s="100"/>
      <c r="AT199" s="100"/>
      <c r="AU199" s="100"/>
      <c r="AV199" s="100"/>
      <c r="AW199" s="100"/>
      <c r="AX199" s="100"/>
    </row>
    <row r="200" spans="12:50" s="47" customFormat="1" ht="14.25">
      <c r="L200" s="51"/>
      <c r="P200" s="100"/>
      <c r="Q200" s="104"/>
      <c r="R200" s="100"/>
      <c r="T200" s="100"/>
      <c r="W200" s="100"/>
      <c r="AK200" s="84"/>
      <c r="AQ200" s="100"/>
      <c r="AR200" s="100"/>
      <c r="AS200" s="100"/>
      <c r="AT200" s="100"/>
      <c r="AU200" s="100"/>
      <c r="AV200" s="100"/>
      <c r="AW200" s="100"/>
      <c r="AX200" s="100"/>
    </row>
    <row r="201" spans="12:50" s="47" customFormat="1" ht="14.25">
      <c r="L201" s="51"/>
      <c r="P201" s="100"/>
      <c r="Q201" s="104"/>
      <c r="R201" s="100"/>
      <c r="T201" s="100"/>
      <c r="W201" s="100"/>
      <c r="AK201" s="84"/>
      <c r="AQ201" s="100"/>
      <c r="AR201" s="100"/>
      <c r="AS201" s="100"/>
      <c r="AT201" s="100"/>
      <c r="AU201" s="100"/>
      <c r="AV201" s="100"/>
      <c r="AW201" s="100"/>
      <c r="AX201" s="100"/>
    </row>
    <row r="202" spans="12:50" s="47" customFormat="1" ht="14.25">
      <c r="L202" s="51"/>
      <c r="P202" s="100"/>
      <c r="Q202" s="104"/>
      <c r="R202" s="100"/>
      <c r="T202" s="100"/>
      <c r="W202" s="100"/>
      <c r="AK202" s="84"/>
      <c r="AQ202" s="100"/>
      <c r="AR202" s="100"/>
      <c r="AS202" s="100"/>
      <c r="AT202" s="100"/>
      <c r="AU202" s="100"/>
      <c r="AV202" s="100"/>
      <c r="AW202" s="100"/>
      <c r="AX202" s="100"/>
    </row>
    <row r="203" spans="12:50" s="47" customFormat="1" ht="14.25">
      <c r="L203" s="51"/>
      <c r="P203" s="100"/>
      <c r="Q203" s="104"/>
      <c r="R203" s="100"/>
      <c r="T203" s="100"/>
      <c r="W203" s="100"/>
      <c r="AK203" s="84"/>
      <c r="AQ203" s="100"/>
      <c r="AR203" s="100"/>
      <c r="AS203" s="100"/>
      <c r="AT203" s="100"/>
      <c r="AU203" s="100"/>
      <c r="AV203" s="100"/>
      <c r="AW203" s="100"/>
      <c r="AX203" s="100"/>
    </row>
    <row r="204" spans="12:50" s="47" customFormat="1" ht="14.25">
      <c r="L204" s="51"/>
      <c r="P204" s="100"/>
      <c r="Q204" s="104"/>
      <c r="R204" s="100"/>
      <c r="T204" s="100"/>
      <c r="W204" s="100"/>
      <c r="AK204" s="84"/>
      <c r="AQ204" s="100"/>
      <c r="AR204" s="100"/>
      <c r="AS204" s="100"/>
      <c r="AT204" s="100"/>
      <c r="AU204" s="100"/>
      <c r="AV204" s="100"/>
      <c r="AW204" s="100"/>
      <c r="AX204" s="100"/>
    </row>
    <row r="205" spans="12:50" s="47" customFormat="1" ht="14.25">
      <c r="L205" s="51"/>
      <c r="P205" s="100"/>
      <c r="Q205" s="104"/>
      <c r="R205" s="100"/>
      <c r="T205" s="100"/>
      <c r="W205" s="100"/>
      <c r="AK205" s="84"/>
      <c r="AQ205" s="100"/>
      <c r="AR205" s="100"/>
      <c r="AS205" s="100"/>
      <c r="AT205" s="100"/>
      <c r="AU205" s="100"/>
      <c r="AV205" s="100"/>
      <c r="AW205" s="100"/>
      <c r="AX205" s="100"/>
    </row>
    <row r="206" spans="12:50" s="47" customFormat="1" ht="14.25">
      <c r="L206" s="51"/>
      <c r="P206" s="100"/>
      <c r="Q206" s="104"/>
      <c r="R206" s="100"/>
      <c r="T206" s="100"/>
      <c r="W206" s="100"/>
      <c r="AK206" s="84"/>
      <c r="AQ206" s="100"/>
      <c r="AR206" s="100"/>
      <c r="AS206" s="100"/>
      <c r="AT206" s="100"/>
      <c r="AU206" s="100"/>
      <c r="AV206" s="100"/>
      <c r="AW206" s="100"/>
      <c r="AX206" s="100"/>
    </row>
    <row r="207" spans="12:50" s="47" customFormat="1" ht="14.25">
      <c r="L207" s="51"/>
      <c r="P207" s="100"/>
      <c r="Q207" s="104"/>
      <c r="R207" s="100"/>
      <c r="T207" s="100"/>
      <c r="W207" s="100"/>
      <c r="AK207" s="84"/>
      <c r="AQ207" s="100"/>
      <c r="AR207" s="100"/>
      <c r="AS207" s="100"/>
      <c r="AT207" s="100"/>
      <c r="AU207" s="100"/>
      <c r="AV207" s="100"/>
      <c r="AW207" s="100"/>
      <c r="AX207" s="100"/>
    </row>
    <row r="208" spans="12:50" s="47" customFormat="1" ht="14.25">
      <c r="L208" s="51"/>
      <c r="P208" s="100"/>
      <c r="Q208" s="104"/>
      <c r="R208" s="100"/>
      <c r="T208" s="100"/>
      <c r="W208" s="100"/>
      <c r="AK208" s="84"/>
      <c r="AQ208" s="100"/>
      <c r="AR208" s="100"/>
      <c r="AS208" s="100"/>
      <c r="AT208" s="100"/>
      <c r="AU208" s="100"/>
      <c r="AV208" s="100"/>
      <c r="AW208" s="100"/>
      <c r="AX208" s="100"/>
    </row>
    <row r="209" spans="12:50" s="47" customFormat="1" ht="14.25">
      <c r="L209" s="51"/>
      <c r="P209" s="100"/>
      <c r="Q209" s="104"/>
      <c r="R209" s="100"/>
      <c r="T209" s="100"/>
      <c r="W209" s="100"/>
      <c r="AK209" s="84"/>
      <c r="AQ209" s="100"/>
      <c r="AR209" s="100"/>
      <c r="AS209" s="100"/>
      <c r="AT209" s="100"/>
      <c r="AU209" s="100"/>
      <c r="AV209" s="100"/>
      <c r="AW209" s="100"/>
      <c r="AX209" s="100"/>
    </row>
    <row r="210" spans="12:50" s="47" customFormat="1" ht="14.25">
      <c r="L210" s="51"/>
      <c r="P210" s="100"/>
      <c r="Q210" s="104"/>
      <c r="R210" s="100"/>
      <c r="T210" s="100"/>
      <c r="W210" s="100"/>
      <c r="AK210" s="84"/>
      <c r="AQ210" s="100"/>
      <c r="AR210" s="100"/>
      <c r="AS210" s="100"/>
      <c r="AT210" s="100"/>
      <c r="AU210" s="100"/>
      <c r="AV210" s="100"/>
      <c r="AW210" s="100"/>
      <c r="AX210" s="100"/>
    </row>
    <row r="211" spans="12:50" s="47" customFormat="1" ht="14.25">
      <c r="L211" s="51"/>
      <c r="P211" s="100"/>
      <c r="Q211" s="104"/>
      <c r="R211" s="100"/>
      <c r="T211" s="100"/>
      <c r="W211" s="100"/>
      <c r="AK211" s="84"/>
      <c r="AQ211" s="100"/>
      <c r="AR211" s="100"/>
      <c r="AS211" s="100"/>
      <c r="AT211" s="100"/>
      <c r="AU211" s="100"/>
      <c r="AV211" s="100"/>
      <c r="AW211" s="100"/>
      <c r="AX211" s="100"/>
    </row>
    <row r="212" spans="12:50" s="47" customFormat="1" ht="14.25">
      <c r="L212" s="51"/>
      <c r="P212" s="100"/>
      <c r="Q212" s="104"/>
      <c r="R212" s="100"/>
      <c r="T212" s="100"/>
      <c r="W212" s="100"/>
      <c r="AK212" s="84"/>
      <c r="AQ212" s="100"/>
      <c r="AR212" s="100"/>
      <c r="AS212" s="100"/>
      <c r="AT212" s="100"/>
      <c r="AU212" s="100"/>
      <c r="AV212" s="100"/>
      <c r="AW212" s="100"/>
      <c r="AX212" s="100"/>
    </row>
    <row r="213" spans="12:50" s="47" customFormat="1" ht="14.25">
      <c r="L213" s="51"/>
      <c r="P213" s="100"/>
      <c r="Q213" s="104"/>
      <c r="R213" s="100"/>
      <c r="T213" s="100"/>
      <c r="W213" s="100"/>
      <c r="AK213" s="84"/>
      <c r="AQ213" s="100"/>
      <c r="AR213" s="100"/>
      <c r="AS213" s="100"/>
      <c r="AT213" s="100"/>
      <c r="AU213" s="100"/>
      <c r="AV213" s="100"/>
      <c r="AW213" s="100"/>
      <c r="AX213" s="100"/>
    </row>
    <row r="214" spans="12:50" s="47" customFormat="1" ht="14.25">
      <c r="L214" s="51"/>
      <c r="P214" s="100"/>
      <c r="Q214" s="104"/>
      <c r="R214" s="100"/>
      <c r="T214" s="100"/>
      <c r="W214" s="100"/>
      <c r="AK214" s="84"/>
      <c r="AQ214" s="100"/>
      <c r="AR214" s="100"/>
      <c r="AS214" s="100"/>
      <c r="AT214" s="100"/>
      <c r="AU214" s="100"/>
      <c r="AV214" s="100"/>
      <c r="AW214" s="100"/>
      <c r="AX214" s="100"/>
    </row>
    <row r="215" spans="12:50" s="47" customFormat="1" ht="14.25">
      <c r="L215" s="51"/>
      <c r="P215" s="100"/>
      <c r="Q215" s="104"/>
      <c r="R215" s="100"/>
      <c r="T215" s="100"/>
      <c r="W215" s="100"/>
      <c r="AK215" s="84"/>
      <c r="AQ215" s="100"/>
      <c r="AR215" s="100"/>
      <c r="AS215" s="100"/>
      <c r="AT215" s="100"/>
      <c r="AU215" s="100"/>
      <c r="AV215" s="100"/>
      <c r="AW215" s="100"/>
      <c r="AX215" s="100"/>
    </row>
    <row r="216" spans="12:50" s="47" customFormat="1" ht="14.25">
      <c r="L216" s="51"/>
      <c r="P216" s="100"/>
      <c r="Q216" s="104"/>
      <c r="R216" s="100"/>
      <c r="T216" s="100"/>
      <c r="W216" s="100"/>
      <c r="AK216" s="84"/>
      <c r="AQ216" s="100"/>
      <c r="AR216" s="100"/>
      <c r="AS216" s="100"/>
      <c r="AT216" s="100"/>
      <c r="AU216" s="100"/>
      <c r="AV216" s="100"/>
      <c r="AW216" s="100"/>
      <c r="AX216" s="100"/>
    </row>
    <row r="217" spans="12:50" s="47" customFormat="1" ht="14.25">
      <c r="L217" s="51"/>
      <c r="P217" s="100"/>
      <c r="Q217" s="104"/>
      <c r="R217" s="100"/>
      <c r="T217" s="100"/>
      <c r="W217" s="100"/>
      <c r="AK217" s="84"/>
      <c r="AQ217" s="100"/>
      <c r="AR217" s="100"/>
      <c r="AS217" s="100"/>
      <c r="AT217" s="100"/>
      <c r="AU217" s="100"/>
      <c r="AV217" s="100"/>
      <c r="AW217" s="100"/>
      <c r="AX217" s="100"/>
    </row>
    <row r="218" spans="12:50" s="47" customFormat="1" ht="14.25">
      <c r="L218" s="51"/>
      <c r="P218" s="100"/>
      <c r="Q218" s="104"/>
      <c r="R218" s="100"/>
      <c r="T218" s="100"/>
      <c r="W218" s="100"/>
      <c r="AK218" s="84"/>
      <c r="AQ218" s="100"/>
      <c r="AR218" s="100"/>
      <c r="AS218" s="100"/>
      <c r="AT218" s="100"/>
      <c r="AU218" s="100"/>
      <c r="AV218" s="100"/>
      <c r="AW218" s="100"/>
      <c r="AX218" s="100"/>
    </row>
    <row r="219" spans="12:50" s="47" customFormat="1" ht="14.25">
      <c r="L219" s="51"/>
      <c r="P219" s="100"/>
      <c r="Q219" s="104"/>
      <c r="R219" s="100"/>
      <c r="T219" s="100"/>
      <c r="W219" s="100"/>
      <c r="AK219" s="84"/>
      <c r="AQ219" s="100"/>
      <c r="AR219" s="100"/>
      <c r="AS219" s="100"/>
      <c r="AT219" s="100"/>
      <c r="AU219" s="100"/>
      <c r="AV219" s="100"/>
      <c r="AW219" s="100"/>
      <c r="AX219" s="100"/>
    </row>
    <row r="220" spans="12:50" s="47" customFormat="1" ht="14.25">
      <c r="L220" s="51"/>
      <c r="P220" s="100"/>
      <c r="Q220" s="104"/>
      <c r="R220" s="100"/>
      <c r="T220" s="100"/>
      <c r="W220" s="100"/>
      <c r="AK220" s="84"/>
      <c r="AQ220" s="100"/>
      <c r="AR220" s="100"/>
      <c r="AS220" s="100"/>
      <c r="AT220" s="100"/>
      <c r="AU220" s="100"/>
      <c r="AV220" s="100"/>
      <c r="AW220" s="100"/>
      <c r="AX220" s="100"/>
    </row>
    <row r="221" spans="12:50" s="47" customFormat="1" ht="14.25">
      <c r="L221" s="51"/>
      <c r="P221" s="100"/>
      <c r="Q221" s="104"/>
      <c r="R221" s="100"/>
      <c r="T221" s="100"/>
      <c r="W221" s="100"/>
      <c r="AK221" s="84"/>
      <c r="AQ221" s="100"/>
      <c r="AR221" s="100"/>
      <c r="AS221" s="100"/>
      <c r="AT221" s="100"/>
      <c r="AU221" s="100"/>
      <c r="AV221" s="100"/>
      <c r="AW221" s="100"/>
      <c r="AX221" s="100"/>
    </row>
    <row r="222" spans="12:50" s="47" customFormat="1" ht="14.25">
      <c r="L222" s="51"/>
      <c r="P222" s="100"/>
      <c r="Q222" s="104"/>
      <c r="R222" s="100"/>
      <c r="T222" s="100"/>
      <c r="W222" s="100"/>
      <c r="AK222" s="84"/>
      <c r="AQ222" s="100"/>
      <c r="AR222" s="100"/>
      <c r="AS222" s="100"/>
      <c r="AT222" s="100"/>
      <c r="AU222" s="100"/>
      <c r="AV222" s="100"/>
      <c r="AW222" s="100"/>
      <c r="AX222" s="100"/>
    </row>
    <row r="223" spans="12:50" s="47" customFormat="1" ht="14.25">
      <c r="L223" s="51"/>
      <c r="P223" s="100"/>
      <c r="Q223" s="104"/>
      <c r="R223" s="100"/>
      <c r="T223" s="100"/>
      <c r="W223" s="100"/>
      <c r="AK223" s="84"/>
      <c r="AQ223" s="100"/>
      <c r="AR223" s="100"/>
      <c r="AS223" s="100"/>
      <c r="AT223" s="100"/>
      <c r="AU223" s="100"/>
      <c r="AV223" s="100"/>
      <c r="AW223" s="100"/>
      <c r="AX223" s="100"/>
    </row>
    <row r="224" spans="12:50" s="47" customFormat="1" ht="14.25">
      <c r="L224" s="51"/>
      <c r="P224" s="100"/>
      <c r="Q224" s="104"/>
      <c r="R224" s="100"/>
      <c r="T224" s="100"/>
      <c r="W224" s="100"/>
      <c r="AK224" s="84"/>
      <c r="AQ224" s="100"/>
      <c r="AR224" s="100"/>
      <c r="AS224" s="100"/>
      <c r="AT224" s="100"/>
      <c r="AU224" s="100"/>
      <c r="AV224" s="100"/>
      <c r="AW224" s="100"/>
      <c r="AX224" s="100"/>
    </row>
    <row r="225" spans="12:50" s="47" customFormat="1" ht="14.25">
      <c r="L225" s="51"/>
      <c r="P225" s="100"/>
      <c r="Q225" s="104"/>
      <c r="R225" s="100"/>
      <c r="T225" s="100"/>
      <c r="W225" s="100"/>
      <c r="AK225" s="84"/>
      <c r="AQ225" s="100"/>
      <c r="AR225" s="100"/>
      <c r="AS225" s="100"/>
      <c r="AT225" s="100"/>
      <c r="AU225" s="100"/>
      <c r="AV225" s="100"/>
      <c r="AW225" s="100"/>
      <c r="AX225" s="100"/>
    </row>
    <row r="226" spans="12:50" s="47" customFormat="1" ht="14.25">
      <c r="L226" s="51"/>
      <c r="P226" s="100"/>
      <c r="Q226" s="104"/>
      <c r="R226" s="100"/>
      <c r="T226" s="100"/>
      <c r="W226" s="100"/>
      <c r="AK226" s="84"/>
      <c r="AQ226" s="100"/>
      <c r="AR226" s="100"/>
      <c r="AS226" s="100"/>
      <c r="AT226" s="100"/>
      <c r="AU226" s="100"/>
      <c r="AV226" s="100"/>
      <c r="AW226" s="100"/>
      <c r="AX226" s="100"/>
    </row>
    <row r="227" spans="12:50" s="47" customFormat="1" ht="14.25">
      <c r="L227" s="51"/>
      <c r="P227" s="100"/>
      <c r="Q227" s="104"/>
      <c r="R227" s="100"/>
      <c r="T227" s="100"/>
      <c r="W227" s="100"/>
      <c r="AK227" s="84"/>
      <c r="AQ227" s="100"/>
      <c r="AR227" s="100"/>
      <c r="AS227" s="100"/>
      <c r="AT227" s="100"/>
      <c r="AU227" s="100"/>
      <c r="AV227" s="100"/>
      <c r="AW227" s="100"/>
      <c r="AX227" s="100"/>
    </row>
    <row r="228" spans="12:50" s="47" customFormat="1" ht="14.25">
      <c r="L228" s="51"/>
      <c r="P228" s="100"/>
      <c r="Q228" s="104"/>
      <c r="R228" s="100"/>
      <c r="T228" s="100"/>
      <c r="W228" s="100"/>
      <c r="AK228" s="84"/>
      <c r="AQ228" s="100"/>
      <c r="AR228" s="100"/>
      <c r="AS228" s="100"/>
      <c r="AT228" s="100"/>
      <c r="AU228" s="100"/>
      <c r="AV228" s="100"/>
      <c r="AW228" s="100"/>
      <c r="AX228" s="100"/>
    </row>
    <row r="229" spans="12:50" s="47" customFormat="1" ht="14.25">
      <c r="L229" s="51"/>
      <c r="P229" s="100"/>
      <c r="Q229" s="104"/>
      <c r="R229" s="100"/>
      <c r="T229" s="100"/>
      <c r="W229" s="100"/>
      <c r="AK229" s="84"/>
      <c r="AQ229" s="100"/>
      <c r="AR229" s="100"/>
      <c r="AS229" s="100"/>
      <c r="AT229" s="100"/>
      <c r="AU229" s="100"/>
      <c r="AV229" s="100"/>
      <c r="AW229" s="100"/>
      <c r="AX229" s="100"/>
    </row>
    <row r="230" spans="12:50" s="47" customFormat="1" ht="14.25">
      <c r="L230" s="51"/>
      <c r="P230" s="100"/>
      <c r="Q230" s="104"/>
      <c r="R230" s="100"/>
      <c r="T230" s="100"/>
      <c r="W230" s="100"/>
      <c r="AK230" s="84"/>
      <c r="AQ230" s="100"/>
      <c r="AR230" s="100"/>
      <c r="AS230" s="100"/>
      <c r="AT230" s="100"/>
      <c r="AU230" s="100"/>
      <c r="AV230" s="100"/>
      <c r="AW230" s="100"/>
      <c r="AX230" s="100"/>
    </row>
    <row r="231" spans="12:50" s="47" customFormat="1" ht="14.25">
      <c r="L231" s="51"/>
      <c r="P231" s="100"/>
      <c r="Q231" s="104"/>
      <c r="R231" s="100"/>
      <c r="T231" s="100"/>
      <c r="W231" s="100"/>
      <c r="AK231" s="84"/>
      <c r="AQ231" s="100"/>
      <c r="AR231" s="100"/>
      <c r="AS231" s="100"/>
      <c r="AT231" s="100"/>
      <c r="AU231" s="100"/>
      <c r="AV231" s="100"/>
      <c r="AW231" s="100"/>
      <c r="AX231" s="100"/>
    </row>
    <row r="232" spans="12:50" s="47" customFormat="1" ht="14.25">
      <c r="L232" s="51"/>
      <c r="P232" s="100"/>
      <c r="Q232" s="104"/>
      <c r="R232" s="100"/>
      <c r="T232" s="100"/>
      <c r="W232" s="100"/>
      <c r="AK232" s="84"/>
      <c r="AQ232" s="100"/>
      <c r="AR232" s="100"/>
      <c r="AS232" s="100"/>
      <c r="AT232" s="100"/>
      <c r="AU232" s="100"/>
      <c r="AV232" s="100"/>
      <c r="AW232" s="100"/>
      <c r="AX232" s="100"/>
    </row>
    <row r="233" spans="12:50" s="47" customFormat="1" ht="14.25">
      <c r="L233" s="51"/>
      <c r="P233" s="100"/>
      <c r="Q233" s="104"/>
      <c r="R233" s="100"/>
      <c r="T233" s="100"/>
      <c r="W233" s="100"/>
      <c r="AK233" s="84"/>
      <c r="AQ233" s="100"/>
      <c r="AR233" s="100"/>
      <c r="AS233" s="100"/>
      <c r="AT233" s="100"/>
      <c r="AU233" s="100"/>
      <c r="AV233" s="100"/>
      <c r="AW233" s="100"/>
      <c r="AX233" s="100"/>
    </row>
    <row r="234" spans="12:50" s="47" customFormat="1" ht="14.25">
      <c r="L234" s="51"/>
      <c r="P234" s="100"/>
      <c r="Q234" s="104"/>
      <c r="R234" s="100"/>
      <c r="T234" s="100"/>
      <c r="W234" s="100"/>
      <c r="AK234" s="84"/>
      <c r="AQ234" s="100"/>
      <c r="AR234" s="100"/>
      <c r="AS234" s="100"/>
      <c r="AT234" s="100"/>
      <c r="AU234" s="100"/>
      <c r="AV234" s="100"/>
      <c r="AW234" s="100"/>
      <c r="AX234" s="100"/>
    </row>
    <row r="235" spans="12:50" s="47" customFormat="1" ht="14.25">
      <c r="L235" s="51"/>
      <c r="P235" s="100"/>
      <c r="Q235" s="104"/>
      <c r="R235" s="100"/>
      <c r="T235" s="100"/>
      <c r="W235" s="100"/>
      <c r="AK235" s="84"/>
      <c r="AQ235" s="100"/>
      <c r="AR235" s="100"/>
      <c r="AS235" s="100"/>
      <c r="AT235" s="100"/>
      <c r="AU235" s="100"/>
      <c r="AV235" s="100"/>
      <c r="AW235" s="100"/>
      <c r="AX235" s="100"/>
    </row>
    <row r="236" spans="12:50" s="47" customFormat="1" ht="14.25">
      <c r="L236" s="51"/>
      <c r="P236" s="100"/>
      <c r="Q236" s="104"/>
      <c r="R236" s="100"/>
      <c r="T236" s="100"/>
      <c r="W236" s="100"/>
      <c r="AK236" s="84"/>
      <c r="AQ236" s="100"/>
      <c r="AR236" s="100"/>
      <c r="AS236" s="100"/>
      <c r="AT236" s="100"/>
      <c r="AU236" s="100"/>
      <c r="AV236" s="100"/>
      <c r="AW236" s="100"/>
      <c r="AX236" s="100"/>
    </row>
    <row r="237" spans="12:50" s="47" customFormat="1" ht="14.25">
      <c r="L237" s="51"/>
      <c r="P237" s="100"/>
      <c r="Q237" s="104"/>
      <c r="R237" s="100"/>
      <c r="T237" s="100"/>
      <c r="W237" s="100"/>
      <c r="AK237" s="84"/>
      <c r="AQ237" s="100"/>
      <c r="AR237" s="100"/>
      <c r="AS237" s="100"/>
      <c r="AT237" s="100"/>
      <c r="AU237" s="100"/>
      <c r="AV237" s="100"/>
      <c r="AW237" s="100"/>
      <c r="AX237" s="100"/>
    </row>
    <row r="238" spans="12:50" s="47" customFormat="1" ht="14.25">
      <c r="L238" s="51"/>
      <c r="P238" s="100"/>
      <c r="Q238" s="104"/>
      <c r="R238" s="100"/>
      <c r="T238" s="100"/>
      <c r="W238" s="100"/>
      <c r="AK238" s="84"/>
      <c r="AQ238" s="100"/>
      <c r="AR238" s="100"/>
      <c r="AS238" s="100"/>
      <c r="AT238" s="100"/>
      <c r="AU238" s="100"/>
      <c r="AV238" s="100"/>
      <c r="AW238" s="100"/>
      <c r="AX238" s="100"/>
    </row>
    <row r="239" spans="12:50" s="47" customFormat="1" ht="14.25">
      <c r="L239" s="51"/>
      <c r="P239" s="100"/>
      <c r="Q239" s="104"/>
      <c r="R239" s="100"/>
      <c r="T239" s="100"/>
      <c r="W239" s="100"/>
      <c r="AK239" s="84"/>
      <c r="AQ239" s="100"/>
      <c r="AR239" s="100"/>
      <c r="AS239" s="100"/>
      <c r="AT239" s="100"/>
      <c r="AU239" s="100"/>
      <c r="AV239" s="100"/>
      <c r="AW239" s="100"/>
      <c r="AX239" s="100"/>
    </row>
    <row r="240" spans="12:50" s="47" customFormat="1" ht="14.25">
      <c r="L240" s="51"/>
      <c r="P240" s="100"/>
      <c r="Q240" s="104"/>
      <c r="R240" s="100"/>
      <c r="T240" s="100"/>
      <c r="W240" s="100"/>
      <c r="AK240" s="84"/>
      <c r="AQ240" s="100"/>
      <c r="AR240" s="100"/>
      <c r="AS240" s="100"/>
      <c r="AT240" s="100"/>
      <c r="AU240" s="100"/>
      <c r="AV240" s="100"/>
      <c r="AW240" s="100"/>
      <c r="AX240" s="100"/>
    </row>
    <row r="241" spans="12:50" s="47" customFormat="1" ht="14.25">
      <c r="L241" s="51"/>
      <c r="P241" s="100"/>
      <c r="Q241" s="104"/>
      <c r="R241" s="100"/>
      <c r="T241" s="100"/>
      <c r="W241" s="100"/>
      <c r="AK241" s="84"/>
      <c r="AQ241" s="100"/>
      <c r="AR241" s="100"/>
      <c r="AS241" s="100"/>
      <c r="AT241" s="100"/>
      <c r="AU241" s="100"/>
      <c r="AV241" s="100"/>
      <c r="AW241" s="100"/>
      <c r="AX241" s="100"/>
    </row>
    <row r="242" spans="12:50" s="47" customFormat="1" ht="14.25">
      <c r="L242" s="51"/>
      <c r="P242" s="100"/>
      <c r="Q242" s="104"/>
      <c r="R242" s="100"/>
      <c r="T242" s="100"/>
      <c r="W242" s="100"/>
      <c r="AK242" s="84"/>
      <c r="AQ242" s="100"/>
      <c r="AR242" s="100"/>
      <c r="AS242" s="100"/>
      <c r="AT242" s="100"/>
      <c r="AU242" s="100"/>
      <c r="AV242" s="100"/>
      <c r="AW242" s="100"/>
      <c r="AX242" s="100"/>
    </row>
    <row r="243" spans="12:50" s="47" customFormat="1" ht="14.25">
      <c r="L243" s="51"/>
      <c r="P243" s="100"/>
      <c r="Q243" s="104"/>
      <c r="R243" s="100"/>
      <c r="T243" s="100"/>
      <c r="W243" s="100"/>
      <c r="AK243" s="84"/>
      <c r="AQ243" s="100"/>
      <c r="AR243" s="100"/>
      <c r="AS243" s="100"/>
      <c r="AT243" s="100"/>
      <c r="AU243" s="100"/>
      <c r="AV243" s="100"/>
      <c r="AW243" s="100"/>
      <c r="AX243" s="100"/>
    </row>
    <row r="244" spans="12:50" s="47" customFormat="1" ht="14.25">
      <c r="L244" s="51"/>
      <c r="P244" s="100"/>
      <c r="Q244" s="104"/>
      <c r="R244" s="100"/>
      <c r="T244" s="100"/>
      <c r="W244" s="100"/>
      <c r="AK244" s="84"/>
      <c r="AQ244" s="100"/>
      <c r="AR244" s="100"/>
      <c r="AS244" s="100"/>
      <c r="AT244" s="100"/>
      <c r="AU244" s="100"/>
      <c r="AV244" s="100"/>
      <c r="AW244" s="100"/>
      <c r="AX244" s="100"/>
    </row>
    <row r="245" spans="12:50" s="47" customFormat="1" ht="14.25">
      <c r="L245" s="51"/>
      <c r="P245" s="100"/>
      <c r="Q245" s="104"/>
      <c r="R245" s="100"/>
      <c r="T245" s="100"/>
      <c r="W245" s="100"/>
      <c r="AK245" s="84"/>
      <c r="AQ245" s="100"/>
      <c r="AR245" s="100"/>
      <c r="AS245" s="100"/>
      <c r="AT245" s="100"/>
      <c r="AU245" s="100"/>
      <c r="AV245" s="100"/>
      <c r="AW245" s="100"/>
      <c r="AX245" s="100"/>
    </row>
    <row r="246" spans="12:50" s="47" customFormat="1" ht="14.25">
      <c r="L246" s="51"/>
      <c r="P246" s="100"/>
      <c r="Q246" s="104"/>
      <c r="R246" s="100"/>
      <c r="T246" s="100"/>
      <c r="W246" s="100"/>
      <c r="AK246" s="84"/>
      <c r="AQ246" s="100"/>
      <c r="AR246" s="100"/>
      <c r="AS246" s="100"/>
      <c r="AT246" s="100"/>
      <c r="AU246" s="100"/>
      <c r="AV246" s="100"/>
      <c r="AW246" s="100"/>
      <c r="AX246" s="100"/>
    </row>
    <row r="247" spans="12:50" s="47" customFormat="1" ht="14.25">
      <c r="L247" s="51"/>
      <c r="P247" s="100"/>
      <c r="Q247" s="104"/>
      <c r="R247" s="100"/>
      <c r="T247" s="100"/>
      <c r="W247" s="100"/>
      <c r="AK247" s="84"/>
      <c r="AQ247" s="100"/>
      <c r="AR247" s="100"/>
      <c r="AS247" s="100"/>
      <c r="AT247" s="100"/>
      <c r="AU247" s="100"/>
      <c r="AV247" s="100"/>
      <c r="AW247" s="100"/>
      <c r="AX247" s="100"/>
    </row>
    <row r="248" spans="12:50" s="47" customFormat="1" ht="14.25">
      <c r="L248" s="51"/>
      <c r="P248" s="100"/>
      <c r="Q248" s="104"/>
      <c r="R248" s="100"/>
      <c r="T248" s="100"/>
      <c r="W248" s="100"/>
      <c r="AK248" s="84"/>
      <c r="AQ248" s="100"/>
      <c r="AR248" s="100"/>
      <c r="AS248" s="100"/>
      <c r="AT248" s="100"/>
      <c r="AU248" s="100"/>
      <c r="AV248" s="100"/>
      <c r="AW248" s="100"/>
      <c r="AX248" s="100"/>
    </row>
    <row r="249" spans="12:50" s="47" customFormat="1" ht="14.25">
      <c r="L249" s="51"/>
      <c r="P249" s="100"/>
      <c r="Q249" s="104"/>
      <c r="R249" s="100"/>
      <c r="T249" s="100"/>
      <c r="W249" s="100"/>
      <c r="AK249" s="84"/>
      <c r="AQ249" s="100"/>
      <c r="AR249" s="100"/>
      <c r="AS249" s="100"/>
      <c r="AT249" s="100"/>
      <c r="AU249" s="100"/>
      <c r="AV249" s="100"/>
      <c r="AW249" s="100"/>
      <c r="AX249" s="100"/>
    </row>
    <row r="250" spans="12:50" s="47" customFormat="1" ht="14.25">
      <c r="L250" s="51"/>
      <c r="P250" s="100"/>
      <c r="Q250" s="104"/>
      <c r="R250" s="100"/>
      <c r="T250" s="100"/>
      <c r="W250" s="100"/>
      <c r="AK250" s="84"/>
      <c r="AQ250" s="100"/>
      <c r="AR250" s="100"/>
      <c r="AS250" s="100"/>
      <c r="AT250" s="100"/>
      <c r="AU250" s="100"/>
      <c r="AV250" s="100"/>
      <c r="AW250" s="100"/>
      <c r="AX250" s="100"/>
    </row>
    <row r="251" spans="12:50" s="47" customFormat="1" ht="14.25">
      <c r="L251" s="51"/>
      <c r="P251" s="100"/>
      <c r="Q251" s="104"/>
      <c r="R251" s="100"/>
      <c r="T251" s="100"/>
      <c r="W251" s="100"/>
      <c r="AK251" s="84"/>
      <c r="AQ251" s="100"/>
      <c r="AR251" s="100"/>
      <c r="AS251" s="100"/>
      <c r="AT251" s="100"/>
      <c r="AU251" s="100"/>
      <c r="AV251" s="100"/>
      <c r="AW251" s="100"/>
      <c r="AX251" s="100"/>
    </row>
    <row r="252" spans="12:50" s="47" customFormat="1" ht="14.25">
      <c r="L252" s="51"/>
      <c r="P252" s="100"/>
      <c r="Q252" s="104"/>
      <c r="R252" s="100"/>
      <c r="T252" s="100"/>
      <c r="W252" s="100"/>
      <c r="AK252" s="84"/>
      <c r="AQ252" s="100"/>
      <c r="AR252" s="100"/>
      <c r="AS252" s="100"/>
      <c r="AT252" s="100"/>
      <c r="AU252" s="100"/>
      <c r="AV252" s="100"/>
      <c r="AW252" s="100"/>
      <c r="AX252" s="100"/>
    </row>
    <row r="253" spans="12:50" s="47" customFormat="1" ht="14.25">
      <c r="L253" s="51"/>
      <c r="P253" s="100"/>
      <c r="Q253" s="104"/>
      <c r="R253" s="100"/>
      <c r="T253" s="100"/>
      <c r="W253" s="100"/>
      <c r="AK253" s="84"/>
      <c r="AQ253" s="100"/>
      <c r="AR253" s="100"/>
      <c r="AS253" s="100"/>
      <c r="AT253" s="100"/>
      <c r="AU253" s="100"/>
      <c r="AV253" s="100"/>
      <c r="AW253" s="100"/>
      <c r="AX253" s="100"/>
    </row>
    <row r="254" spans="12:50" s="47" customFormat="1" ht="14.25">
      <c r="L254" s="51"/>
      <c r="P254" s="100"/>
      <c r="Q254" s="104"/>
      <c r="R254" s="100"/>
      <c r="T254" s="100"/>
      <c r="W254" s="100"/>
      <c r="AK254" s="84"/>
      <c r="AQ254" s="100"/>
      <c r="AR254" s="100"/>
      <c r="AS254" s="100"/>
      <c r="AT254" s="100"/>
      <c r="AU254" s="100"/>
      <c r="AV254" s="100"/>
      <c r="AW254" s="100"/>
      <c r="AX254" s="100"/>
    </row>
    <row r="255" spans="12:50" s="47" customFormat="1" ht="14.25">
      <c r="L255" s="51"/>
      <c r="P255" s="100"/>
      <c r="Q255" s="104"/>
      <c r="R255" s="100"/>
      <c r="T255" s="100"/>
      <c r="W255" s="100"/>
      <c r="AK255" s="84"/>
      <c r="AQ255" s="100"/>
      <c r="AR255" s="100"/>
      <c r="AS255" s="100"/>
      <c r="AT255" s="100"/>
      <c r="AU255" s="100"/>
      <c r="AV255" s="100"/>
      <c r="AW255" s="100"/>
      <c r="AX255" s="100"/>
    </row>
    <row r="256" spans="12:50" s="47" customFormat="1" ht="14.25">
      <c r="L256" s="51"/>
      <c r="P256" s="100"/>
      <c r="Q256" s="104"/>
      <c r="R256" s="100"/>
      <c r="T256" s="100"/>
      <c r="W256" s="100"/>
      <c r="AK256" s="84"/>
      <c r="AQ256" s="100"/>
      <c r="AR256" s="100"/>
      <c r="AS256" s="100"/>
      <c r="AT256" s="100"/>
      <c r="AU256" s="100"/>
      <c r="AV256" s="100"/>
      <c r="AW256" s="100"/>
      <c r="AX256" s="100"/>
    </row>
    <row r="257" spans="12:50" s="47" customFormat="1" ht="14.25">
      <c r="L257" s="51"/>
      <c r="P257" s="100"/>
      <c r="Q257" s="104"/>
      <c r="R257" s="100"/>
      <c r="T257" s="100"/>
      <c r="W257" s="100"/>
      <c r="AK257" s="84"/>
      <c r="AQ257" s="100"/>
      <c r="AR257" s="100"/>
      <c r="AS257" s="100"/>
      <c r="AT257" s="100"/>
      <c r="AU257" s="100"/>
      <c r="AV257" s="100"/>
      <c r="AW257" s="100"/>
      <c r="AX257" s="100"/>
    </row>
    <row r="258" spans="12:50" s="47" customFormat="1" ht="14.25">
      <c r="L258" s="51"/>
      <c r="P258" s="100"/>
      <c r="Q258" s="104"/>
      <c r="R258" s="100"/>
      <c r="T258" s="100"/>
      <c r="W258" s="100"/>
      <c r="AK258" s="84"/>
      <c r="AQ258" s="100"/>
      <c r="AR258" s="100"/>
      <c r="AS258" s="100"/>
      <c r="AT258" s="100"/>
      <c r="AU258" s="100"/>
      <c r="AV258" s="100"/>
      <c r="AW258" s="100"/>
      <c r="AX258" s="100"/>
    </row>
    <row r="259" spans="12:50" s="47" customFormat="1" ht="14.25">
      <c r="L259" s="51"/>
      <c r="P259" s="100"/>
      <c r="Q259" s="104"/>
      <c r="R259" s="100"/>
      <c r="T259" s="100"/>
      <c r="W259" s="100"/>
      <c r="AK259" s="84"/>
      <c r="AQ259" s="100"/>
      <c r="AR259" s="100"/>
      <c r="AS259" s="100"/>
      <c r="AT259" s="100"/>
      <c r="AU259" s="100"/>
      <c r="AV259" s="100"/>
      <c r="AW259" s="100"/>
      <c r="AX259" s="100"/>
    </row>
    <row r="260" spans="12:50" s="47" customFormat="1" ht="14.25">
      <c r="L260" s="51"/>
      <c r="P260" s="100"/>
      <c r="Q260" s="104"/>
      <c r="R260" s="100"/>
      <c r="T260" s="100"/>
      <c r="W260" s="100"/>
      <c r="AK260" s="84"/>
      <c r="AQ260" s="100"/>
      <c r="AR260" s="100"/>
      <c r="AS260" s="100"/>
      <c r="AT260" s="100"/>
      <c r="AU260" s="100"/>
      <c r="AV260" s="100"/>
      <c r="AW260" s="100"/>
      <c r="AX260" s="100"/>
    </row>
    <row r="261" spans="12:50" s="47" customFormat="1" ht="14.25">
      <c r="L261" s="51"/>
      <c r="P261" s="100"/>
      <c r="Q261" s="104"/>
      <c r="R261" s="100"/>
      <c r="T261" s="100"/>
      <c r="W261" s="100"/>
      <c r="AK261" s="84"/>
      <c r="AQ261" s="100"/>
      <c r="AR261" s="100"/>
      <c r="AS261" s="100"/>
      <c r="AT261" s="100"/>
      <c r="AU261" s="100"/>
      <c r="AV261" s="100"/>
      <c r="AW261" s="100"/>
      <c r="AX261" s="100"/>
    </row>
    <row r="262" spans="12:50" s="47" customFormat="1" ht="14.25">
      <c r="L262" s="51"/>
      <c r="P262" s="100"/>
      <c r="Q262" s="104"/>
      <c r="R262" s="100"/>
      <c r="T262" s="100"/>
      <c r="W262" s="100"/>
      <c r="AK262" s="84"/>
      <c r="AQ262" s="100"/>
      <c r="AR262" s="100"/>
      <c r="AS262" s="100"/>
      <c r="AT262" s="100"/>
      <c r="AU262" s="100"/>
      <c r="AV262" s="100"/>
      <c r="AW262" s="100"/>
      <c r="AX262" s="100"/>
    </row>
    <row r="263" spans="12:50" s="47" customFormat="1" ht="14.25">
      <c r="L263" s="51"/>
      <c r="P263" s="100"/>
      <c r="Q263" s="104"/>
      <c r="R263" s="100"/>
      <c r="T263" s="100"/>
      <c r="W263" s="100"/>
      <c r="AK263" s="84"/>
      <c r="AQ263" s="100"/>
      <c r="AR263" s="100"/>
      <c r="AS263" s="100"/>
      <c r="AT263" s="100"/>
      <c r="AU263" s="100"/>
      <c r="AV263" s="100"/>
      <c r="AW263" s="100"/>
      <c r="AX263" s="100"/>
    </row>
    <row r="264" spans="12:50" s="47" customFormat="1" ht="14.25">
      <c r="L264" s="51"/>
      <c r="P264" s="100"/>
      <c r="Q264" s="104"/>
      <c r="R264" s="100"/>
      <c r="T264" s="100"/>
      <c r="W264" s="100"/>
      <c r="AK264" s="84"/>
      <c r="AQ264" s="100"/>
      <c r="AR264" s="100"/>
      <c r="AS264" s="100"/>
      <c r="AT264" s="100"/>
      <c r="AU264" s="100"/>
      <c r="AV264" s="100"/>
      <c r="AW264" s="100"/>
      <c r="AX264" s="100"/>
    </row>
    <row r="265" spans="12:50" s="47" customFormat="1" ht="14.25">
      <c r="L265" s="51"/>
      <c r="P265" s="100"/>
      <c r="Q265" s="104"/>
      <c r="R265" s="100"/>
      <c r="T265" s="100"/>
      <c r="W265" s="100"/>
      <c r="AK265" s="84"/>
      <c r="AQ265" s="100"/>
      <c r="AR265" s="100"/>
      <c r="AS265" s="100"/>
      <c r="AT265" s="100"/>
      <c r="AU265" s="100"/>
      <c r="AV265" s="100"/>
      <c r="AW265" s="100"/>
      <c r="AX265" s="100"/>
    </row>
    <row r="266" spans="12:50" s="47" customFormat="1" ht="14.25">
      <c r="L266" s="51"/>
      <c r="P266" s="100"/>
      <c r="Q266" s="104"/>
      <c r="R266" s="100"/>
      <c r="T266" s="100"/>
      <c r="W266" s="100"/>
      <c r="AK266" s="84"/>
      <c r="AQ266" s="100"/>
      <c r="AR266" s="100"/>
      <c r="AS266" s="100"/>
      <c r="AT266" s="100"/>
      <c r="AU266" s="100"/>
      <c r="AV266" s="100"/>
      <c r="AW266" s="100"/>
      <c r="AX266" s="100"/>
    </row>
    <row r="267" spans="12:50" s="47" customFormat="1" ht="14.25">
      <c r="L267" s="51"/>
      <c r="P267" s="100"/>
      <c r="Q267" s="104"/>
      <c r="R267" s="100"/>
      <c r="T267" s="100"/>
      <c r="W267" s="100"/>
      <c r="AK267" s="84"/>
      <c r="AQ267" s="100"/>
      <c r="AR267" s="100"/>
      <c r="AS267" s="100"/>
      <c r="AT267" s="100"/>
      <c r="AU267" s="100"/>
      <c r="AV267" s="100"/>
      <c r="AW267" s="100"/>
      <c r="AX267" s="100"/>
    </row>
    <row r="268" spans="12:50" s="47" customFormat="1" ht="14.25">
      <c r="L268" s="51"/>
      <c r="P268" s="100"/>
      <c r="Q268" s="104"/>
      <c r="R268" s="100"/>
      <c r="T268" s="100"/>
      <c r="W268" s="100"/>
      <c r="AK268" s="84"/>
      <c r="AQ268" s="100"/>
      <c r="AR268" s="100"/>
      <c r="AS268" s="100"/>
      <c r="AT268" s="100"/>
      <c r="AU268" s="100"/>
      <c r="AV268" s="100"/>
      <c r="AW268" s="100"/>
      <c r="AX268" s="100"/>
    </row>
    <row r="269" spans="12:50" s="47" customFormat="1" ht="14.25">
      <c r="L269" s="51"/>
      <c r="P269" s="100"/>
      <c r="Q269" s="104"/>
      <c r="R269" s="100"/>
      <c r="T269" s="100"/>
      <c r="W269" s="100"/>
      <c r="AK269" s="84"/>
      <c r="AQ269" s="100"/>
      <c r="AR269" s="100"/>
      <c r="AS269" s="100"/>
      <c r="AT269" s="100"/>
      <c r="AU269" s="100"/>
      <c r="AV269" s="100"/>
      <c r="AW269" s="100"/>
      <c r="AX269" s="100"/>
    </row>
    <row r="270" spans="12:50" s="47" customFormat="1" ht="14.25">
      <c r="L270" s="51"/>
      <c r="P270" s="100"/>
      <c r="Q270" s="104"/>
      <c r="R270" s="100"/>
      <c r="T270" s="100"/>
      <c r="W270" s="100"/>
      <c r="AK270" s="84"/>
      <c r="AQ270" s="100"/>
      <c r="AR270" s="100"/>
      <c r="AS270" s="100"/>
      <c r="AT270" s="100"/>
      <c r="AU270" s="100"/>
      <c r="AV270" s="100"/>
      <c r="AW270" s="100"/>
      <c r="AX270" s="100"/>
    </row>
    <row r="271" spans="12:50" s="47" customFormat="1" ht="14.25">
      <c r="L271" s="51"/>
      <c r="P271" s="100"/>
      <c r="Q271" s="104"/>
      <c r="R271" s="100"/>
      <c r="T271" s="100"/>
      <c r="W271" s="100"/>
      <c r="AK271" s="84"/>
      <c r="AQ271" s="100"/>
      <c r="AR271" s="100"/>
      <c r="AS271" s="100"/>
      <c r="AT271" s="100"/>
      <c r="AU271" s="100"/>
      <c r="AV271" s="100"/>
      <c r="AW271" s="100"/>
      <c r="AX271" s="100"/>
    </row>
    <row r="272" spans="12:50" s="47" customFormat="1" ht="14.25">
      <c r="L272" s="51"/>
      <c r="P272" s="100"/>
      <c r="Q272" s="104"/>
      <c r="R272" s="100"/>
      <c r="T272" s="100"/>
      <c r="W272" s="100"/>
      <c r="AK272" s="84"/>
      <c r="AQ272" s="100"/>
      <c r="AR272" s="100"/>
      <c r="AS272" s="100"/>
      <c r="AT272" s="100"/>
      <c r="AU272" s="100"/>
      <c r="AV272" s="100"/>
      <c r="AW272" s="100"/>
      <c r="AX272" s="100"/>
    </row>
    <row r="273" spans="12:50" s="47" customFormat="1" ht="14.25">
      <c r="L273" s="51"/>
      <c r="P273" s="100"/>
      <c r="Q273" s="104"/>
      <c r="R273" s="100"/>
      <c r="T273" s="100"/>
      <c r="W273" s="100"/>
      <c r="AK273" s="84"/>
      <c r="AQ273" s="100"/>
      <c r="AR273" s="100"/>
      <c r="AS273" s="100"/>
      <c r="AT273" s="100"/>
      <c r="AU273" s="100"/>
      <c r="AV273" s="100"/>
      <c r="AW273" s="100"/>
      <c r="AX273" s="100"/>
    </row>
    <row r="274" spans="12:50" s="47" customFormat="1" ht="14.25">
      <c r="L274" s="51"/>
      <c r="P274" s="100"/>
      <c r="Q274" s="104"/>
      <c r="R274" s="100"/>
      <c r="T274" s="100"/>
      <c r="W274" s="100"/>
      <c r="AK274" s="84"/>
      <c r="AQ274" s="100"/>
      <c r="AR274" s="100"/>
      <c r="AS274" s="100"/>
      <c r="AT274" s="100"/>
      <c r="AU274" s="100"/>
      <c r="AV274" s="100"/>
      <c r="AW274" s="100"/>
      <c r="AX274" s="100"/>
    </row>
    <row r="275" spans="12:50" s="47" customFormat="1" ht="14.25">
      <c r="L275" s="51"/>
      <c r="P275" s="100"/>
      <c r="Q275" s="104"/>
      <c r="R275" s="100"/>
      <c r="T275" s="100"/>
      <c r="W275" s="100"/>
      <c r="AK275" s="84"/>
      <c r="AQ275" s="100"/>
      <c r="AR275" s="100"/>
      <c r="AS275" s="100"/>
      <c r="AT275" s="100"/>
      <c r="AU275" s="100"/>
      <c r="AV275" s="100"/>
      <c r="AW275" s="100"/>
      <c r="AX275" s="100"/>
    </row>
    <row r="276" spans="12:50" s="47" customFormat="1" ht="14.25">
      <c r="L276" s="51"/>
      <c r="P276" s="100"/>
      <c r="Q276" s="104"/>
      <c r="R276" s="100"/>
      <c r="T276" s="100"/>
      <c r="W276" s="100"/>
      <c r="AK276" s="84"/>
      <c r="AQ276" s="100"/>
      <c r="AR276" s="100"/>
      <c r="AS276" s="100"/>
      <c r="AT276" s="100"/>
      <c r="AU276" s="100"/>
      <c r="AV276" s="100"/>
      <c r="AW276" s="100"/>
      <c r="AX276" s="100"/>
    </row>
    <row r="277" spans="12:50" s="47" customFormat="1" ht="14.25">
      <c r="L277" s="51"/>
      <c r="P277" s="100"/>
      <c r="Q277" s="104"/>
      <c r="R277" s="100"/>
      <c r="T277" s="100"/>
      <c r="W277" s="100"/>
      <c r="AK277" s="84"/>
      <c r="AQ277" s="100"/>
      <c r="AR277" s="100"/>
      <c r="AS277" s="100"/>
      <c r="AT277" s="100"/>
      <c r="AU277" s="100"/>
      <c r="AV277" s="100"/>
      <c r="AW277" s="100"/>
      <c r="AX277" s="100"/>
    </row>
    <row r="278" spans="12:50" s="47" customFormat="1" ht="14.25">
      <c r="L278" s="51"/>
      <c r="P278" s="100"/>
      <c r="Q278" s="104"/>
      <c r="R278" s="100"/>
      <c r="T278" s="100"/>
      <c r="W278" s="100"/>
      <c r="AK278" s="84"/>
      <c r="AQ278" s="100"/>
      <c r="AR278" s="100"/>
      <c r="AS278" s="100"/>
      <c r="AT278" s="100"/>
      <c r="AU278" s="100"/>
      <c r="AV278" s="100"/>
      <c r="AW278" s="100"/>
      <c r="AX278" s="100"/>
    </row>
    <row r="279" spans="12:50" s="47" customFormat="1" ht="14.25">
      <c r="L279" s="51"/>
      <c r="P279" s="100"/>
      <c r="Q279" s="104"/>
      <c r="R279" s="100"/>
      <c r="T279" s="100"/>
      <c r="W279" s="100"/>
      <c r="AK279" s="84"/>
      <c r="AQ279" s="100"/>
      <c r="AR279" s="100"/>
      <c r="AS279" s="100"/>
      <c r="AT279" s="100"/>
      <c r="AU279" s="100"/>
      <c r="AV279" s="100"/>
      <c r="AW279" s="100"/>
      <c r="AX279" s="100"/>
    </row>
    <row r="280" spans="12:50" s="47" customFormat="1" ht="14.25">
      <c r="L280" s="51"/>
      <c r="P280" s="100"/>
      <c r="Q280" s="104"/>
      <c r="R280" s="100"/>
      <c r="T280" s="100"/>
      <c r="W280" s="100"/>
      <c r="AK280" s="84"/>
      <c r="AQ280" s="100"/>
      <c r="AR280" s="100"/>
      <c r="AS280" s="100"/>
      <c r="AT280" s="100"/>
      <c r="AU280" s="100"/>
      <c r="AV280" s="100"/>
      <c r="AW280" s="100"/>
      <c r="AX280" s="100"/>
    </row>
    <row r="281" spans="12:50" s="47" customFormat="1" ht="14.25">
      <c r="L281" s="51"/>
      <c r="P281" s="100"/>
      <c r="Q281" s="104"/>
      <c r="R281" s="100"/>
      <c r="T281" s="100"/>
      <c r="W281" s="100"/>
      <c r="AK281" s="84"/>
      <c r="AQ281" s="100"/>
      <c r="AR281" s="100"/>
      <c r="AS281" s="100"/>
      <c r="AT281" s="100"/>
      <c r="AU281" s="100"/>
      <c r="AV281" s="100"/>
      <c r="AW281" s="100"/>
      <c r="AX281" s="100"/>
    </row>
    <row r="282" spans="12:50" s="47" customFormat="1" ht="14.25">
      <c r="L282" s="51"/>
      <c r="P282" s="100"/>
      <c r="Q282" s="104"/>
      <c r="R282" s="100"/>
      <c r="T282" s="100"/>
      <c r="W282" s="100"/>
      <c r="AK282" s="84"/>
      <c r="AQ282" s="100"/>
      <c r="AR282" s="100"/>
      <c r="AS282" s="100"/>
      <c r="AT282" s="100"/>
      <c r="AU282" s="100"/>
      <c r="AV282" s="100"/>
      <c r="AW282" s="100"/>
      <c r="AX282" s="100"/>
    </row>
    <row r="283" spans="12:50" s="47" customFormat="1" ht="14.25">
      <c r="L283" s="51"/>
      <c r="P283" s="100"/>
      <c r="Q283" s="104"/>
      <c r="R283" s="100"/>
      <c r="T283" s="100"/>
      <c r="W283" s="100"/>
      <c r="AK283" s="84"/>
      <c r="AQ283" s="100"/>
      <c r="AR283" s="100"/>
      <c r="AS283" s="100"/>
      <c r="AT283" s="100"/>
      <c r="AU283" s="100"/>
      <c r="AV283" s="100"/>
      <c r="AW283" s="100"/>
      <c r="AX283" s="100"/>
    </row>
    <row r="284" spans="12:50" s="47" customFormat="1" ht="14.25">
      <c r="L284" s="51"/>
      <c r="P284" s="100"/>
      <c r="Q284" s="104"/>
      <c r="R284" s="100"/>
      <c r="T284" s="100"/>
      <c r="W284" s="100"/>
      <c r="AK284" s="84"/>
      <c r="AQ284" s="100"/>
      <c r="AR284" s="100"/>
      <c r="AS284" s="100"/>
      <c r="AT284" s="100"/>
      <c r="AU284" s="100"/>
      <c r="AV284" s="100"/>
      <c r="AW284" s="100"/>
      <c r="AX284" s="100"/>
    </row>
    <row r="285" spans="12:50" s="47" customFormat="1" ht="14.25">
      <c r="L285" s="51"/>
      <c r="P285" s="100"/>
      <c r="Q285" s="104"/>
      <c r="R285" s="100"/>
      <c r="T285" s="100"/>
      <c r="W285" s="100"/>
      <c r="AK285" s="84"/>
      <c r="AQ285" s="100"/>
      <c r="AR285" s="100"/>
      <c r="AS285" s="100"/>
      <c r="AT285" s="100"/>
      <c r="AU285" s="100"/>
      <c r="AV285" s="100"/>
      <c r="AW285" s="100"/>
      <c r="AX285" s="100"/>
    </row>
    <row r="286" spans="12:50" s="47" customFormat="1" ht="14.25">
      <c r="L286" s="51"/>
      <c r="P286" s="100"/>
      <c r="Q286" s="104"/>
      <c r="R286" s="100"/>
      <c r="T286" s="100"/>
      <c r="W286" s="100"/>
      <c r="AK286" s="84"/>
      <c r="AQ286" s="100"/>
      <c r="AR286" s="100"/>
      <c r="AS286" s="100"/>
      <c r="AT286" s="100"/>
      <c r="AU286" s="100"/>
      <c r="AV286" s="100"/>
      <c r="AW286" s="100"/>
      <c r="AX286" s="100"/>
    </row>
    <row r="287" spans="12:50" s="47" customFormat="1" ht="14.25">
      <c r="L287" s="51"/>
      <c r="P287" s="100"/>
      <c r="Q287" s="104"/>
      <c r="R287" s="100"/>
      <c r="T287" s="100"/>
      <c r="W287" s="100"/>
      <c r="AK287" s="84"/>
      <c r="AQ287" s="100"/>
      <c r="AR287" s="100"/>
      <c r="AS287" s="100"/>
      <c r="AT287" s="100"/>
      <c r="AU287" s="100"/>
      <c r="AV287" s="100"/>
      <c r="AW287" s="100"/>
      <c r="AX287" s="100"/>
    </row>
    <row r="288" spans="12:50" s="47" customFormat="1" ht="14.25">
      <c r="L288" s="51"/>
      <c r="P288" s="100"/>
      <c r="Q288" s="104"/>
      <c r="R288" s="100"/>
      <c r="T288" s="100"/>
      <c r="W288" s="100"/>
      <c r="AK288" s="84"/>
      <c r="AQ288" s="100"/>
      <c r="AR288" s="100"/>
      <c r="AS288" s="100"/>
      <c r="AT288" s="100"/>
      <c r="AU288" s="100"/>
      <c r="AV288" s="100"/>
      <c r="AW288" s="100"/>
      <c r="AX288" s="100"/>
    </row>
    <row r="289" spans="12:50" s="47" customFormat="1" ht="14.25">
      <c r="L289" s="51"/>
      <c r="P289" s="100"/>
      <c r="Q289" s="104"/>
      <c r="R289" s="100"/>
      <c r="T289" s="100"/>
      <c r="W289" s="100"/>
      <c r="AK289" s="84"/>
      <c r="AQ289" s="100"/>
      <c r="AR289" s="100"/>
      <c r="AS289" s="100"/>
      <c r="AT289" s="100"/>
      <c r="AU289" s="100"/>
      <c r="AV289" s="100"/>
      <c r="AW289" s="100"/>
      <c r="AX289" s="100"/>
    </row>
    <row r="290" spans="12:50" s="47" customFormat="1" ht="14.25">
      <c r="L290" s="51"/>
      <c r="P290" s="100"/>
      <c r="Q290" s="104"/>
      <c r="R290" s="100"/>
      <c r="T290" s="100"/>
      <c r="W290" s="100"/>
      <c r="AK290" s="84"/>
      <c r="AQ290" s="100"/>
      <c r="AR290" s="100"/>
      <c r="AS290" s="100"/>
      <c r="AT290" s="100"/>
      <c r="AU290" s="100"/>
      <c r="AV290" s="100"/>
      <c r="AW290" s="100"/>
      <c r="AX290" s="100"/>
    </row>
    <row r="291" spans="12:50" s="47" customFormat="1" ht="14.25">
      <c r="L291" s="51"/>
      <c r="P291" s="100"/>
      <c r="Q291" s="104"/>
      <c r="R291" s="100"/>
      <c r="T291" s="100"/>
      <c r="W291" s="100"/>
      <c r="AK291" s="84"/>
      <c r="AQ291" s="100"/>
      <c r="AR291" s="100"/>
      <c r="AS291" s="100"/>
      <c r="AT291" s="100"/>
      <c r="AU291" s="100"/>
      <c r="AV291" s="100"/>
      <c r="AW291" s="100"/>
      <c r="AX291" s="100"/>
    </row>
    <row r="292" spans="12:50" s="47" customFormat="1" ht="14.25">
      <c r="L292" s="51"/>
      <c r="P292" s="100"/>
      <c r="Q292" s="104"/>
      <c r="R292" s="100"/>
      <c r="T292" s="100"/>
      <c r="W292" s="100"/>
      <c r="AK292" s="84"/>
      <c r="AQ292" s="100"/>
      <c r="AR292" s="100"/>
      <c r="AS292" s="100"/>
      <c r="AT292" s="100"/>
      <c r="AU292" s="100"/>
      <c r="AV292" s="100"/>
      <c r="AW292" s="100"/>
      <c r="AX292" s="100"/>
    </row>
    <row r="293" spans="12:50" s="47" customFormat="1" ht="14.25">
      <c r="L293" s="51"/>
      <c r="P293" s="100"/>
      <c r="Q293" s="104"/>
      <c r="R293" s="100"/>
      <c r="T293" s="100"/>
      <c r="W293" s="100"/>
      <c r="AK293" s="84"/>
      <c r="AQ293" s="100"/>
      <c r="AR293" s="100"/>
      <c r="AS293" s="100"/>
      <c r="AT293" s="100"/>
      <c r="AU293" s="100"/>
      <c r="AV293" s="100"/>
      <c r="AW293" s="100"/>
      <c r="AX293" s="100"/>
    </row>
    <row r="294" spans="12:50" s="47" customFormat="1" ht="14.25">
      <c r="L294" s="51"/>
      <c r="P294" s="100"/>
      <c r="Q294" s="104"/>
      <c r="R294" s="100"/>
      <c r="T294" s="100"/>
      <c r="W294" s="100"/>
      <c r="AK294" s="84"/>
      <c r="AQ294" s="100"/>
      <c r="AR294" s="100"/>
      <c r="AS294" s="100"/>
      <c r="AT294" s="100"/>
      <c r="AU294" s="100"/>
      <c r="AV294" s="100"/>
      <c r="AW294" s="100"/>
      <c r="AX294" s="100"/>
    </row>
    <row r="295" spans="12:50" s="47" customFormat="1" ht="14.25">
      <c r="L295" s="51"/>
      <c r="P295" s="100"/>
      <c r="Q295" s="104"/>
      <c r="R295" s="100"/>
      <c r="T295" s="100"/>
      <c r="W295" s="100"/>
      <c r="AK295" s="84"/>
      <c r="AQ295" s="100"/>
      <c r="AR295" s="100"/>
      <c r="AS295" s="100"/>
      <c r="AT295" s="100"/>
      <c r="AU295" s="100"/>
      <c r="AV295" s="100"/>
      <c r="AW295" s="100"/>
      <c r="AX295" s="100"/>
    </row>
    <row r="296" spans="12:50" s="47" customFormat="1" ht="14.25">
      <c r="L296" s="51"/>
      <c r="P296" s="100"/>
      <c r="Q296" s="104"/>
      <c r="R296" s="100"/>
      <c r="T296" s="100"/>
      <c r="W296" s="100"/>
      <c r="AK296" s="84"/>
      <c r="AQ296" s="100"/>
      <c r="AR296" s="100"/>
      <c r="AS296" s="100"/>
      <c r="AT296" s="100"/>
      <c r="AU296" s="100"/>
      <c r="AV296" s="100"/>
      <c r="AW296" s="100"/>
      <c r="AX296" s="100"/>
    </row>
    <row r="297" spans="12:50" s="47" customFormat="1" ht="14.25">
      <c r="L297" s="51"/>
      <c r="P297" s="100"/>
      <c r="Q297" s="104"/>
      <c r="R297" s="100"/>
      <c r="T297" s="100"/>
      <c r="W297" s="100"/>
      <c r="AK297" s="84"/>
      <c r="AQ297" s="100"/>
      <c r="AR297" s="100"/>
      <c r="AS297" s="100"/>
      <c r="AT297" s="100"/>
      <c r="AU297" s="100"/>
      <c r="AV297" s="100"/>
      <c r="AW297" s="100"/>
      <c r="AX297" s="100"/>
    </row>
    <row r="298" spans="12:50" s="47" customFormat="1" ht="14.25">
      <c r="L298" s="51"/>
      <c r="P298" s="100"/>
      <c r="Q298" s="104"/>
      <c r="R298" s="100"/>
      <c r="T298" s="100"/>
      <c r="W298" s="100"/>
      <c r="AK298" s="84"/>
      <c r="AQ298" s="100"/>
      <c r="AR298" s="100"/>
      <c r="AS298" s="100"/>
      <c r="AT298" s="100"/>
      <c r="AU298" s="100"/>
      <c r="AV298" s="100"/>
      <c r="AW298" s="100"/>
      <c r="AX298" s="100"/>
    </row>
    <row r="299" spans="12:50" s="47" customFormat="1" ht="14.25">
      <c r="L299" s="51"/>
      <c r="P299" s="100"/>
      <c r="Q299" s="104"/>
      <c r="R299" s="100"/>
      <c r="T299" s="100"/>
      <c r="W299" s="100"/>
      <c r="AK299" s="84"/>
      <c r="AQ299" s="100"/>
      <c r="AR299" s="100"/>
      <c r="AS299" s="100"/>
      <c r="AT299" s="100"/>
      <c r="AU299" s="100"/>
      <c r="AV299" s="100"/>
      <c r="AW299" s="100"/>
      <c r="AX299" s="100"/>
    </row>
    <row r="300" spans="12:50" s="47" customFormat="1" ht="14.25">
      <c r="L300" s="51"/>
      <c r="P300" s="100"/>
      <c r="Q300" s="104"/>
      <c r="R300" s="100"/>
      <c r="T300" s="100"/>
      <c r="W300" s="100"/>
      <c r="AK300" s="84"/>
      <c r="AQ300" s="100"/>
      <c r="AR300" s="100"/>
      <c r="AS300" s="100"/>
      <c r="AT300" s="100"/>
      <c r="AU300" s="100"/>
      <c r="AV300" s="100"/>
      <c r="AW300" s="100"/>
      <c r="AX300" s="100"/>
    </row>
    <row r="301" spans="12:50" s="47" customFormat="1" ht="14.25">
      <c r="L301" s="51"/>
      <c r="P301" s="100"/>
      <c r="Q301" s="104"/>
      <c r="R301" s="100"/>
      <c r="T301" s="100"/>
      <c r="W301" s="100"/>
      <c r="AK301" s="84"/>
      <c r="AQ301" s="100"/>
      <c r="AR301" s="100"/>
      <c r="AS301" s="100"/>
      <c r="AT301" s="100"/>
      <c r="AU301" s="100"/>
      <c r="AV301" s="100"/>
      <c r="AW301" s="100"/>
      <c r="AX301" s="100"/>
    </row>
    <row r="302" spans="12:50" s="47" customFormat="1" ht="14.25">
      <c r="L302" s="51"/>
      <c r="P302" s="100"/>
      <c r="Q302" s="104"/>
      <c r="R302" s="100"/>
      <c r="T302" s="100"/>
      <c r="W302" s="100"/>
      <c r="AK302" s="84"/>
      <c r="AQ302" s="100"/>
      <c r="AR302" s="100"/>
      <c r="AS302" s="100"/>
      <c r="AT302" s="100"/>
      <c r="AU302" s="100"/>
      <c r="AV302" s="100"/>
      <c r="AW302" s="100"/>
      <c r="AX302" s="100"/>
    </row>
    <row r="303" spans="12:50" s="47" customFormat="1" ht="14.25">
      <c r="L303" s="51"/>
      <c r="P303" s="100"/>
      <c r="Q303" s="104"/>
      <c r="R303" s="100"/>
      <c r="T303" s="100"/>
      <c r="W303" s="100"/>
      <c r="AK303" s="84"/>
      <c r="AQ303" s="100"/>
      <c r="AR303" s="100"/>
      <c r="AS303" s="100"/>
      <c r="AT303" s="100"/>
      <c r="AU303" s="100"/>
      <c r="AV303" s="100"/>
      <c r="AW303" s="100"/>
      <c r="AX303" s="100"/>
    </row>
    <row r="304" spans="12:50" s="47" customFormat="1" ht="14.25">
      <c r="L304" s="51"/>
      <c r="P304" s="100"/>
      <c r="Q304" s="104"/>
      <c r="R304" s="100"/>
      <c r="T304" s="100"/>
      <c r="W304" s="100"/>
      <c r="AK304" s="84"/>
      <c r="AQ304" s="100"/>
      <c r="AR304" s="100"/>
      <c r="AS304" s="100"/>
      <c r="AT304" s="100"/>
      <c r="AU304" s="100"/>
      <c r="AV304" s="100"/>
      <c r="AW304" s="100"/>
      <c r="AX304" s="100"/>
    </row>
    <row r="305" spans="12:50" s="47" customFormat="1" ht="14.25">
      <c r="L305" s="51"/>
      <c r="P305" s="100"/>
      <c r="Q305" s="104"/>
      <c r="R305" s="100"/>
      <c r="T305" s="100"/>
      <c r="W305" s="100"/>
      <c r="AK305" s="84"/>
      <c r="AQ305" s="100"/>
      <c r="AR305" s="100"/>
      <c r="AS305" s="100"/>
      <c r="AT305" s="100"/>
      <c r="AU305" s="100"/>
      <c r="AV305" s="100"/>
      <c r="AW305" s="100"/>
      <c r="AX305" s="100"/>
    </row>
    <row r="306" spans="12:50" s="47" customFormat="1" ht="14.25">
      <c r="L306" s="51"/>
      <c r="P306" s="100"/>
      <c r="Q306" s="104"/>
      <c r="R306" s="100"/>
      <c r="T306" s="100"/>
      <c r="W306" s="100"/>
      <c r="AK306" s="84"/>
      <c r="AQ306" s="100"/>
      <c r="AR306" s="100"/>
      <c r="AS306" s="100"/>
      <c r="AT306" s="100"/>
      <c r="AU306" s="100"/>
      <c r="AV306" s="100"/>
      <c r="AW306" s="100"/>
      <c r="AX306" s="100"/>
    </row>
    <row r="307" spans="12:50" s="47" customFormat="1" ht="14.25">
      <c r="L307" s="51"/>
      <c r="P307" s="100"/>
      <c r="Q307" s="104"/>
      <c r="R307" s="100"/>
      <c r="T307" s="100"/>
      <c r="W307" s="100"/>
      <c r="AK307" s="84"/>
      <c r="AQ307" s="100"/>
      <c r="AR307" s="100"/>
      <c r="AS307" s="100"/>
      <c r="AT307" s="100"/>
      <c r="AU307" s="100"/>
      <c r="AV307" s="100"/>
      <c r="AW307" s="100"/>
      <c r="AX307" s="100"/>
    </row>
    <row r="308" spans="12:50" s="47" customFormat="1" ht="14.25">
      <c r="L308" s="51"/>
      <c r="P308" s="100"/>
      <c r="Q308" s="104"/>
      <c r="R308" s="100"/>
      <c r="T308" s="100"/>
      <c r="W308" s="100"/>
      <c r="AK308" s="84"/>
      <c r="AQ308" s="100"/>
      <c r="AR308" s="100"/>
      <c r="AS308" s="100"/>
      <c r="AT308" s="100"/>
      <c r="AU308" s="100"/>
      <c r="AV308" s="100"/>
      <c r="AW308" s="100"/>
      <c r="AX308" s="100"/>
    </row>
    <row r="309" spans="12:50" s="47" customFormat="1" ht="14.25">
      <c r="L309" s="51"/>
      <c r="P309" s="100"/>
      <c r="Q309" s="104"/>
      <c r="R309" s="100"/>
      <c r="T309" s="100"/>
      <c r="W309" s="100"/>
      <c r="AK309" s="84"/>
      <c r="AQ309" s="100"/>
      <c r="AR309" s="100"/>
      <c r="AS309" s="100"/>
      <c r="AT309" s="100"/>
      <c r="AU309" s="100"/>
      <c r="AV309" s="100"/>
      <c r="AW309" s="100"/>
      <c r="AX309" s="100"/>
    </row>
    <row r="310" spans="12:50" s="47" customFormat="1" ht="14.25">
      <c r="L310" s="51"/>
      <c r="P310" s="100"/>
      <c r="Q310" s="104"/>
      <c r="R310" s="100"/>
      <c r="T310" s="100"/>
      <c r="W310" s="100"/>
      <c r="AK310" s="84"/>
      <c r="AQ310" s="100"/>
      <c r="AR310" s="100"/>
      <c r="AS310" s="100"/>
      <c r="AT310" s="100"/>
      <c r="AU310" s="100"/>
      <c r="AV310" s="100"/>
      <c r="AW310" s="100"/>
      <c r="AX310" s="100"/>
    </row>
    <row r="311" spans="12:50" s="47" customFormat="1" ht="14.25">
      <c r="L311" s="51"/>
      <c r="P311" s="100"/>
      <c r="Q311" s="104"/>
      <c r="R311" s="100"/>
      <c r="T311" s="100"/>
      <c r="W311" s="100"/>
      <c r="AK311" s="84"/>
      <c r="AQ311" s="100"/>
      <c r="AR311" s="100"/>
      <c r="AS311" s="100"/>
      <c r="AT311" s="100"/>
      <c r="AU311" s="100"/>
      <c r="AV311" s="100"/>
      <c r="AW311" s="100"/>
      <c r="AX311" s="100"/>
    </row>
    <row r="312" spans="12:50" s="47" customFormat="1" ht="14.25">
      <c r="L312" s="51"/>
      <c r="P312" s="100"/>
      <c r="Q312" s="104"/>
      <c r="R312" s="100"/>
      <c r="T312" s="100"/>
      <c r="W312" s="100"/>
      <c r="AK312" s="84"/>
      <c r="AQ312" s="100"/>
      <c r="AR312" s="100"/>
      <c r="AS312" s="100"/>
      <c r="AT312" s="100"/>
      <c r="AU312" s="100"/>
      <c r="AV312" s="100"/>
      <c r="AW312" s="100"/>
      <c r="AX312" s="100"/>
    </row>
    <row r="313" spans="12:50" s="47" customFormat="1" ht="14.25">
      <c r="L313" s="51"/>
      <c r="P313" s="100"/>
      <c r="Q313" s="104"/>
      <c r="R313" s="100"/>
      <c r="T313" s="100"/>
      <c r="W313" s="100"/>
      <c r="AK313" s="84"/>
      <c r="AQ313" s="100"/>
      <c r="AR313" s="100"/>
      <c r="AS313" s="100"/>
      <c r="AT313" s="100"/>
      <c r="AU313" s="100"/>
      <c r="AV313" s="100"/>
      <c r="AW313" s="100"/>
      <c r="AX313" s="100"/>
    </row>
    <row r="314" spans="12:50" s="47" customFormat="1" ht="14.25">
      <c r="L314" s="51"/>
      <c r="P314" s="100"/>
      <c r="Q314" s="104"/>
      <c r="R314" s="100"/>
      <c r="T314" s="100"/>
      <c r="W314" s="100"/>
      <c r="AK314" s="84"/>
      <c r="AQ314" s="100"/>
      <c r="AR314" s="100"/>
      <c r="AS314" s="100"/>
      <c r="AT314" s="100"/>
      <c r="AU314" s="100"/>
      <c r="AV314" s="100"/>
      <c r="AW314" s="100"/>
      <c r="AX314" s="100"/>
    </row>
    <row r="315" spans="12:50" s="47" customFormat="1" ht="14.25">
      <c r="L315" s="51"/>
      <c r="P315" s="100"/>
      <c r="Q315" s="104"/>
      <c r="R315" s="100"/>
      <c r="T315" s="100"/>
      <c r="W315" s="100"/>
      <c r="AK315" s="84"/>
      <c r="AQ315" s="100"/>
      <c r="AR315" s="100"/>
      <c r="AS315" s="100"/>
      <c r="AT315" s="100"/>
      <c r="AU315" s="100"/>
      <c r="AV315" s="100"/>
      <c r="AW315" s="100"/>
      <c r="AX315" s="100"/>
    </row>
    <row r="316" spans="12:50" s="47" customFormat="1" ht="14.25">
      <c r="L316" s="51"/>
      <c r="P316" s="100"/>
      <c r="Q316" s="104"/>
      <c r="R316" s="100"/>
      <c r="T316" s="100"/>
      <c r="W316" s="100"/>
      <c r="AK316" s="84"/>
      <c r="AQ316" s="100"/>
      <c r="AR316" s="100"/>
      <c r="AS316" s="100"/>
      <c r="AT316" s="100"/>
      <c r="AU316" s="100"/>
      <c r="AV316" s="100"/>
      <c r="AW316" s="100"/>
      <c r="AX316" s="100"/>
    </row>
    <row r="317" spans="12:50" s="47" customFormat="1" ht="14.25">
      <c r="L317" s="51"/>
      <c r="P317" s="100"/>
      <c r="Q317" s="104"/>
      <c r="R317" s="100"/>
      <c r="T317" s="100"/>
      <c r="W317" s="100"/>
      <c r="AK317" s="84"/>
      <c r="AQ317" s="100"/>
      <c r="AR317" s="100"/>
      <c r="AS317" s="100"/>
      <c r="AT317" s="100"/>
      <c r="AU317" s="100"/>
      <c r="AV317" s="100"/>
      <c r="AW317" s="100"/>
      <c r="AX317" s="100"/>
    </row>
    <row r="318" spans="12:50" s="47" customFormat="1" ht="14.25">
      <c r="L318" s="51"/>
      <c r="P318" s="100"/>
      <c r="Q318" s="104"/>
      <c r="R318" s="100"/>
      <c r="T318" s="100"/>
      <c r="W318" s="100"/>
      <c r="AK318" s="84"/>
      <c r="AQ318" s="100"/>
      <c r="AR318" s="100"/>
      <c r="AS318" s="100"/>
      <c r="AT318" s="100"/>
      <c r="AU318" s="100"/>
      <c r="AV318" s="100"/>
      <c r="AW318" s="100"/>
      <c r="AX318" s="100"/>
    </row>
    <row r="319" spans="12:50" s="47" customFormat="1" ht="14.25">
      <c r="L319" s="51"/>
      <c r="P319" s="100"/>
      <c r="Q319" s="104"/>
      <c r="R319" s="100"/>
      <c r="T319" s="100"/>
      <c r="W319" s="100"/>
      <c r="AK319" s="84"/>
      <c r="AQ319" s="100"/>
      <c r="AR319" s="100"/>
      <c r="AS319" s="100"/>
      <c r="AT319" s="100"/>
      <c r="AU319" s="100"/>
      <c r="AV319" s="100"/>
      <c r="AW319" s="100"/>
      <c r="AX319" s="100"/>
    </row>
    <row r="320" spans="12:50" s="47" customFormat="1" ht="14.25">
      <c r="L320" s="51"/>
      <c r="P320" s="100"/>
      <c r="Q320" s="104"/>
      <c r="R320" s="100"/>
      <c r="T320" s="100"/>
      <c r="W320" s="100"/>
      <c r="AK320" s="84"/>
      <c r="AQ320" s="100"/>
      <c r="AR320" s="100"/>
      <c r="AS320" s="100"/>
      <c r="AT320" s="100"/>
      <c r="AU320" s="100"/>
      <c r="AV320" s="100"/>
      <c r="AW320" s="100"/>
      <c r="AX320" s="100"/>
    </row>
    <row r="321" spans="12:50" s="47" customFormat="1" ht="14.25">
      <c r="L321" s="51"/>
      <c r="P321" s="100"/>
      <c r="Q321" s="104"/>
      <c r="R321" s="100"/>
      <c r="T321" s="100"/>
      <c r="W321" s="100"/>
      <c r="AK321" s="84"/>
      <c r="AQ321" s="100"/>
      <c r="AR321" s="100"/>
      <c r="AS321" s="100"/>
      <c r="AT321" s="100"/>
      <c r="AU321" s="100"/>
      <c r="AV321" s="100"/>
      <c r="AW321" s="100"/>
      <c r="AX321" s="100"/>
    </row>
    <row r="322" spans="12:50" s="47" customFormat="1" ht="14.25">
      <c r="L322" s="51"/>
      <c r="P322" s="100"/>
      <c r="Q322" s="104"/>
      <c r="R322" s="100"/>
      <c r="T322" s="100"/>
      <c r="W322" s="100"/>
      <c r="AK322" s="84"/>
      <c r="AQ322" s="100"/>
      <c r="AR322" s="100"/>
      <c r="AS322" s="100"/>
      <c r="AT322" s="100"/>
      <c r="AU322" s="100"/>
      <c r="AV322" s="100"/>
      <c r="AW322" s="100"/>
      <c r="AX322" s="100"/>
    </row>
    <row r="323" spans="12:50" s="47" customFormat="1" ht="14.25">
      <c r="L323" s="51"/>
      <c r="P323" s="100"/>
      <c r="Q323" s="104"/>
      <c r="R323" s="100"/>
      <c r="T323" s="100"/>
      <c r="W323" s="100"/>
      <c r="AK323" s="84"/>
      <c r="AQ323" s="100"/>
      <c r="AR323" s="100"/>
      <c r="AS323" s="100"/>
      <c r="AT323" s="100"/>
      <c r="AU323" s="100"/>
      <c r="AV323" s="100"/>
      <c r="AW323" s="100"/>
      <c r="AX323" s="100"/>
    </row>
    <row r="324" spans="12:50" s="47" customFormat="1" ht="14.25">
      <c r="L324" s="51"/>
      <c r="P324" s="100"/>
      <c r="Q324" s="104"/>
      <c r="R324" s="100"/>
      <c r="T324" s="100"/>
      <c r="W324" s="100"/>
      <c r="AK324" s="84"/>
      <c r="AQ324" s="100"/>
      <c r="AR324" s="100"/>
      <c r="AS324" s="100"/>
      <c r="AT324" s="100"/>
      <c r="AU324" s="100"/>
      <c r="AV324" s="100"/>
      <c r="AW324" s="100"/>
      <c r="AX324" s="100"/>
    </row>
    <row r="325" spans="12:50" s="47" customFormat="1" ht="14.25">
      <c r="L325" s="51"/>
      <c r="P325" s="100"/>
      <c r="Q325" s="104"/>
      <c r="R325" s="100"/>
      <c r="T325" s="100"/>
      <c r="W325" s="100"/>
      <c r="AK325" s="84"/>
      <c r="AQ325" s="100"/>
      <c r="AR325" s="100"/>
      <c r="AS325" s="100"/>
      <c r="AT325" s="100"/>
      <c r="AU325" s="100"/>
      <c r="AV325" s="100"/>
      <c r="AW325" s="100"/>
      <c r="AX325" s="100"/>
    </row>
    <row r="326" spans="12:50" s="47" customFormat="1" ht="14.25">
      <c r="L326" s="51"/>
      <c r="P326" s="100"/>
      <c r="Q326" s="104"/>
      <c r="R326" s="100"/>
      <c r="T326" s="100"/>
      <c r="W326" s="100"/>
      <c r="AK326" s="84"/>
      <c r="AQ326" s="100"/>
      <c r="AR326" s="100"/>
      <c r="AS326" s="100"/>
      <c r="AT326" s="100"/>
      <c r="AU326" s="100"/>
      <c r="AV326" s="100"/>
      <c r="AW326" s="100"/>
      <c r="AX326" s="100"/>
    </row>
    <row r="327" spans="12:50" s="47" customFormat="1" ht="14.25">
      <c r="L327" s="51"/>
      <c r="P327" s="100"/>
      <c r="Q327" s="104"/>
      <c r="R327" s="100"/>
      <c r="T327" s="100"/>
      <c r="W327" s="100"/>
      <c r="AK327" s="84"/>
      <c r="AQ327" s="100"/>
      <c r="AR327" s="100"/>
      <c r="AS327" s="100"/>
      <c r="AT327" s="100"/>
      <c r="AU327" s="100"/>
      <c r="AV327" s="100"/>
      <c r="AW327" s="100"/>
      <c r="AX327" s="100"/>
    </row>
    <row r="328" spans="12:50" s="47" customFormat="1" ht="14.25">
      <c r="L328" s="51"/>
      <c r="P328" s="100"/>
      <c r="Q328" s="104"/>
      <c r="R328" s="100"/>
      <c r="T328" s="100"/>
      <c r="W328" s="100"/>
      <c r="AK328" s="84"/>
      <c r="AQ328" s="100"/>
      <c r="AR328" s="100"/>
      <c r="AS328" s="100"/>
      <c r="AT328" s="100"/>
      <c r="AU328" s="100"/>
      <c r="AV328" s="100"/>
      <c r="AW328" s="100"/>
      <c r="AX328" s="100"/>
    </row>
    <row r="329" spans="12:50" s="47" customFormat="1" ht="14.25">
      <c r="L329" s="51"/>
      <c r="P329" s="100"/>
      <c r="Q329" s="104"/>
      <c r="R329" s="100"/>
      <c r="T329" s="100"/>
      <c r="W329" s="100"/>
      <c r="AK329" s="84"/>
      <c r="AQ329" s="100"/>
      <c r="AR329" s="100"/>
      <c r="AS329" s="100"/>
      <c r="AT329" s="100"/>
      <c r="AU329" s="100"/>
      <c r="AV329" s="100"/>
      <c r="AW329" s="100"/>
      <c r="AX329" s="100"/>
    </row>
    <row r="330" spans="12:50" s="47" customFormat="1" ht="14.25">
      <c r="L330" s="51"/>
      <c r="P330" s="100"/>
      <c r="Q330" s="104"/>
      <c r="R330" s="100"/>
      <c r="T330" s="100"/>
      <c r="W330" s="100"/>
      <c r="AK330" s="84"/>
      <c r="AQ330" s="100"/>
      <c r="AR330" s="100"/>
      <c r="AS330" s="100"/>
      <c r="AT330" s="100"/>
      <c r="AU330" s="100"/>
      <c r="AV330" s="100"/>
      <c r="AW330" s="100"/>
      <c r="AX330" s="100"/>
    </row>
    <row r="331" spans="12:50" s="47" customFormat="1" ht="14.25">
      <c r="L331" s="51"/>
      <c r="P331" s="100"/>
      <c r="Q331" s="104"/>
      <c r="R331" s="100"/>
      <c r="T331" s="100"/>
      <c r="W331" s="100"/>
      <c r="AK331" s="84"/>
      <c r="AQ331" s="100"/>
      <c r="AR331" s="100"/>
      <c r="AS331" s="100"/>
      <c r="AT331" s="100"/>
      <c r="AU331" s="100"/>
      <c r="AV331" s="100"/>
      <c r="AW331" s="100"/>
      <c r="AX331" s="100"/>
    </row>
    <row r="332" spans="12:50" s="47" customFormat="1" ht="14.25">
      <c r="L332" s="51"/>
      <c r="P332" s="100"/>
      <c r="Q332" s="104"/>
      <c r="R332" s="100"/>
      <c r="T332" s="100"/>
      <c r="W332" s="100"/>
      <c r="AK332" s="84"/>
      <c r="AQ332" s="100"/>
      <c r="AR332" s="100"/>
      <c r="AS332" s="100"/>
      <c r="AT332" s="100"/>
      <c r="AU332" s="100"/>
      <c r="AV332" s="100"/>
      <c r="AW332" s="100"/>
      <c r="AX332" s="100"/>
    </row>
    <row r="333" spans="12:50" s="47" customFormat="1" ht="14.25">
      <c r="L333" s="51"/>
      <c r="P333" s="100"/>
      <c r="Q333" s="104"/>
      <c r="R333" s="100"/>
      <c r="T333" s="100"/>
      <c r="W333" s="100"/>
      <c r="AK333" s="84"/>
      <c r="AQ333" s="100"/>
      <c r="AR333" s="100"/>
      <c r="AS333" s="100"/>
      <c r="AT333" s="100"/>
      <c r="AU333" s="100"/>
      <c r="AV333" s="100"/>
      <c r="AW333" s="100"/>
      <c r="AX333" s="100"/>
    </row>
    <row r="334" spans="12:50" s="47" customFormat="1" ht="14.25">
      <c r="L334" s="51"/>
      <c r="P334" s="100"/>
      <c r="Q334" s="104"/>
      <c r="R334" s="100"/>
      <c r="T334" s="100"/>
      <c r="W334" s="100"/>
      <c r="AK334" s="84"/>
      <c r="AQ334" s="100"/>
      <c r="AR334" s="100"/>
      <c r="AS334" s="100"/>
      <c r="AT334" s="100"/>
      <c r="AU334" s="100"/>
      <c r="AV334" s="100"/>
      <c r="AW334" s="100"/>
      <c r="AX334" s="100"/>
    </row>
    <row r="335" spans="12:50" s="47" customFormat="1" ht="14.25">
      <c r="L335" s="51"/>
      <c r="P335" s="100"/>
      <c r="Q335" s="104"/>
      <c r="R335" s="100"/>
      <c r="T335" s="100"/>
      <c r="W335" s="100"/>
      <c r="AK335" s="84"/>
      <c r="AQ335" s="100"/>
      <c r="AR335" s="100"/>
      <c r="AS335" s="100"/>
      <c r="AT335" s="100"/>
      <c r="AU335" s="100"/>
      <c r="AV335" s="100"/>
      <c r="AW335" s="100"/>
      <c r="AX335" s="100"/>
    </row>
    <row r="336" spans="12:50" s="47" customFormat="1" ht="14.25">
      <c r="L336" s="51"/>
      <c r="P336" s="100"/>
      <c r="Q336" s="104"/>
      <c r="R336" s="100"/>
      <c r="T336" s="100"/>
      <c r="W336" s="100"/>
      <c r="AK336" s="84"/>
      <c r="AQ336" s="100"/>
      <c r="AR336" s="100"/>
      <c r="AS336" s="100"/>
      <c r="AT336" s="100"/>
      <c r="AU336" s="100"/>
      <c r="AV336" s="100"/>
      <c r="AW336" s="100"/>
      <c r="AX336" s="100"/>
    </row>
    <row r="337" spans="12:50" s="47" customFormat="1" ht="14.25">
      <c r="L337" s="51"/>
      <c r="P337" s="100"/>
      <c r="Q337" s="104"/>
      <c r="R337" s="100"/>
      <c r="T337" s="100"/>
      <c r="W337" s="100"/>
      <c r="AK337" s="84"/>
      <c r="AQ337" s="100"/>
      <c r="AR337" s="100"/>
      <c r="AS337" s="100"/>
      <c r="AT337" s="100"/>
      <c r="AU337" s="100"/>
      <c r="AV337" s="100"/>
      <c r="AW337" s="100"/>
      <c r="AX337" s="100"/>
    </row>
    <row r="338" spans="12:50" s="47" customFormat="1" ht="14.25">
      <c r="L338" s="51"/>
      <c r="P338" s="100"/>
      <c r="Q338" s="104"/>
      <c r="R338" s="100"/>
      <c r="T338" s="100"/>
      <c r="W338" s="100"/>
      <c r="AK338" s="84"/>
      <c r="AQ338" s="100"/>
      <c r="AR338" s="100"/>
      <c r="AS338" s="100"/>
      <c r="AT338" s="100"/>
      <c r="AU338" s="100"/>
      <c r="AV338" s="100"/>
      <c r="AW338" s="100"/>
      <c r="AX338" s="100"/>
    </row>
    <row r="339" spans="12:50" s="47" customFormat="1" ht="14.25">
      <c r="L339" s="51"/>
      <c r="P339" s="100"/>
      <c r="Q339" s="104"/>
      <c r="R339" s="100"/>
      <c r="T339" s="100"/>
      <c r="W339" s="100"/>
      <c r="AK339" s="84"/>
      <c r="AQ339" s="100"/>
      <c r="AR339" s="100"/>
      <c r="AS339" s="100"/>
      <c r="AT339" s="100"/>
      <c r="AU339" s="100"/>
      <c r="AV339" s="100"/>
      <c r="AW339" s="100"/>
      <c r="AX339" s="100"/>
    </row>
    <row r="340" spans="12:50" s="47" customFormat="1" ht="14.25">
      <c r="L340" s="51"/>
      <c r="P340" s="100"/>
      <c r="Q340" s="104"/>
      <c r="R340" s="100"/>
      <c r="T340" s="100"/>
      <c r="W340" s="100"/>
      <c r="AK340" s="84"/>
      <c r="AQ340" s="100"/>
      <c r="AR340" s="100"/>
      <c r="AS340" s="100"/>
      <c r="AT340" s="100"/>
      <c r="AU340" s="100"/>
      <c r="AV340" s="100"/>
      <c r="AW340" s="100"/>
      <c r="AX340" s="100"/>
    </row>
    <row r="341" spans="12:50" s="47" customFormat="1" ht="14.25">
      <c r="L341" s="51"/>
      <c r="P341" s="100"/>
      <c r="Q341" s="104"/>
      <c r="R341" s="100"/>
      <c r="T341" s="100"/>
      <c r="W341" s="100"/>
      <c r="AK341" s="84"/>
      <c r="AQ341" s="100"/>
      <c r="AR341" s="100"/>
      <c r="AS341" s="100"/>
      <c r="AT341" s="100"/>
      <c r="AU341" s="100"/>
      <c r="AV341" s="100"/>
      <c r="AW341" s="100"/>
      <c r="AX341" s="100"/>
    </row>
    <row r="342" spans="12:50" s="47" customFormat="1" ht="14.25">
      <c r="L342" s="51"/>
      <c r="P342" s="100"/>
      <c r="Q342" s="104"/>
      <c r="R342" s="100"/>
      <c r="T342" s="100"/>
      <c r="W342" s="100"/>
      <c r="AK342" s="84"/>
      <c r="AQ342" s="100"/>
      <c r="AR342" s="100"/>
      <c r="AS342" s="100"/>
      <c r="AT342" s="100"/>
      <c r="AU342" s="100"/>
      <c r="AV342" s="100"/>
      <c r="AW342" s="100"/>
      <c r="AX342" s="100"/>
    </row>
    <row r="343" spans="12:50" s="47" customFormat="1" ht="14.25">
      <c r="L343" s="51"/>
      <c r="P343" s="100"/>
      <c r="Q343" s="104"/>
      <c r="R343" s="100"/>
      <c r="T343" s="100"/>
      <c r="W343" s="100"/>
      <c r="AK343" s="84"/>
      <c r="AQ343" s="100"/>
      <c r="AR343" s="100"/>
      <c r="AS343" s="100"/>
      <c r="AT343" s="100"/>
      <c r="AU343" s="100"/>
      <c r="AV343" s="100"/>
      <c r="AW343" s="100"/>
      <c r="AX343" s="100"/>
    </row>
    <row r="344" spans="12:50" s="47" customFormat="1" ht="14.25">
      <c r="L344" s="51"/>
      <c r="P344" s="100"/>
      <c r="Q344" s="104"/>
      <c r="R344" s="100"/>
      <c r="T344" s="100"/>
      <c r="W344" s="100"/>
      <c r="AK344" s="84"/>
      <c r="AQ344" s="100"/>
      <c r="AR344" s="100"/>
      <c r="AS344" s="100"/>
      <c r="AT344" s="100"/>
      <c r="AU344" s="100"/>
      <c r="AV344" s="100"/>
      <c r="AW344" s="100"/>
      <c r="AX344" s="100"/>
    </row>
    <row r="345" spans="12:50" s="47" customFormat="1" ht="14.25">
      <c r="L345" s="51"/>
      <c r="P345" s="100"/>
      <c r="Q345" s="104"/>
      <c r="R345" s="100"/>
      <c r="T345" s="100"/>
      <c r="W345" s="100"/>
      <c r="AK345" s="84"/>
      <c r="AQ345" s="100"/>
      <c r="AR345" s="100"/>
      <c r="AS345" s="100"/>
      <c r="AT345" s="100"/>
      <c r="AU345" s="100"/>
      <c r="AV345" s="100"/>
      <c r="AW345" s="100"/>
      <c r="AX345" s="100"/>
    </row>
    <row r="346" spans="12:50" s="47" customFormat="1" ht="14.25">
      <c r="L346" s="51"/>
      <c r="P346" s="100"/>
      <c r="Q346" s="104"/>
      <c r="R346" s="100"/>
      <c r="T346" s="100"/>
      <c r="W346" s="100"/>
      <c r="AK346" s="84"/>
      <c r="AQ346" s="100"/>
      <c r="AR346" s="100"/>
      <c r="AS346" s="100"/>
      <c r="AT346" s="100"/>
      <c r="AU346" s="100"/>
      <c r="AV346" s="100"/>
      <c r="AW346" s="100"/>
      <c r="AX346" s="100"/>
    </row>
    <row r="347" spans="12:50" s="47" customFormat="1" ht="14.25">
      <c r="L347" s="51"/>
      <c r="P347" s="100"/>
      <c r="Q347" s="104"/>
      <c r="R347" s="100"/>
      <c r="T347" s="100"/>
      <c r="W347" s="100"/>
      <c r="AK347" s="84"/>
      <c r="AQ347" s="100"/>
      <c r="AR347" s="100"/>
      <c r="AS347" s="100"/>
      <c r="AT347" s="100"/>
      <c r="AU347" s="100"/>
      <c r="AV347" s="100"/>
      <c r="AW347" s="100"/>
      <c r="AX347" s="100"/>
    </row>
    <row r="348" spans="12:50" s="47" customFormat="1" ht="14.25">
      <c r="L348" s="51"/>
      <c r="P348" s="100"/>
      <c r="Q348" s="104"/>
      <c r="R348" s="100"/>
      <c r="T348" s="100"/>
      <c r="W348" s="100"/>
      <c r="AK348" s="84"/>
      <c r="AQ348" s="100"/>
      <c r="AR348" s="100"/>
      <c r="AS348" s="100"/>
      <c r="AT348" s="100"/>
      <c r="AU348" s="100"/>
      <c r="AV348" s="100"/>
      <c r="AW348" s="100"/>
      <c r="AX348" s="100"/>
    </row>
    <row r="349" spans="12:50" s="47" customFormat="1" ht="14.25">
      <c r="L349" s="51"/>
      <c r="P349" s="100"/>
      <c r="Q349" s="104"/>
      <c r="R349" s="100"/>
      <c r="T349" s="100"/>
      <c r="W349" s="100"/>
      <c r="AK349" s="84"/>
      <c r="AQ349" s="100"/>
      <c r="AR349" s="100"/>
      <c r="AS349" s="100"/>
      <c r="AT349" s="100"/>
      <c r="AU349" s="100"/>
      <c r="AV349" s="100"/>
      <c r="AW349" s="100"/>
      <c r="AX349" s="100"/>
    </row>
    <row r="350" spans="12:50" s="47" customFormat="1" ht="14.25">
      <c r="L350" s="51"/>
      <c r="P350" s="100"/>
      <c r="Q350" s="104"/>
      <c r="R350" s="100"/>
      <c r="T350" s="100"/>
      <c r="W350" s="100"/>
      <c r="AK350" s="84"/>
      <c r="AQ350" s="100"/>
      <c r="AR350" s="100"/>
      <c r="AS350" s="100"/>
      <c r="AT350" s="100"/>
      <c r="AU350" s="100"/>
      <c r="AV350" s="100"/>
      <c r="AW350" s="100"/>
      <c r="AX350" s="100"/>
    </row>
    <row r="351" spans="12:50" s="47" customFormat="1" ht="14.25">
      <c r="L351" s="51"/>
      <c r="P351" s="100"/>
      <c r="Q351" s="104"/>
      <c r="R351" s="100"/>
      <c r="T351" s="100"/>
      <c r="W351" s="100"/>
      <c r="AK351" s="84"/>
      <c r="AQ351" s="100"/>
      <c r="AR351" s="100"/>
      <c r="AS351" s="100"/>
      <c r="AT351" s="100"/>
      <c r="AU351" s="100"/>
      <c r="AV351" s="100"/>
      <c r="AW351" s="100"/>
      <c r="AX351" s="100"/>
    </row>
    <row r="352" spans="12:50" s="47" customFormat="1" ht="14.25">
      <c r="L352" s="51"/>
      <c r="P352" s="100"/>
      <c r="Q352" s="104"/>
      <c r="R352" s="100"/>
      <c r="T352" s="100"/>
      <c r="W352" s="100"/>
      <c r="AK352" s="84"/>
      <c r="AQ352" s="100"/>
      <c r="AR352" s="100"/>
      <c r="AS352" s="100"/>
      <c r="AT352" s="100"/>
      <c r="AU352" s="100"/>
      <c r="AV352" s="100"/>
      <c r="AW352" s="100"/>
      <c r="AX352" s="100"/>
    </row>
    <row r="353" spans="12:50" s="47" customFormat="1" ht="14.25">
      <c r="L353" s="51"/>
      <c r="P353" s="100"/>
      <c r="Q353" s="104"/>
      <c r="R353" s="100"/>
      <c r="T353" s="100"/>
      <c r="W353" s="100"/>
      <c r="AK353" s="84"/>
      <c r="AQ353" s="100"/>
      <c r="AR353" s="100"/>
      <c r="AS353" s="100"/>
      <c r="AT353" s="100"/>
      <c r="AU353" s="100"/>
      <c r="AV353" s="100"/>
      <c r="AW353" s="100"/>
      <c r="AX353" s="100"/>
    </row>
    <row r="354" spans="12:50" s="47" customFormat="1" ht="14.25">
      <c r="L354" s="51"/>
      <c r="P354" s="100"/>
      <c r="Q354" s="104"/>
      <c r="R354" s="100"/>
      <c r="T354" s="100"/>
      <c r="W354" s="100"/>
      <c r="AK354" s="84"/>
      <c r="AQ354" s="100"/>
      <c r="AR354" s="100"/>
      <c r="AS354" s="100"/>
      <c r="AT354" s="100"/>
      <c r="AU354" s="100"/>
      <c r="AV354" s="100"/>
      <c r="AW354" s="100"/>
      <c r="AX354" s="100"/>
    </row>
    <row r="355" spans="12:50" s="47" customFormat="1" ht="14.25">
      <c r="L355" s="51"/>
      <c r="P355" s="100"/>
      <c r="Q355" s="104"/>
      <c r="R355" s="100"/>
      <c r="T355" s="100"/>
      <c r="W355" s="100"/>
      <c r="AK355" s="84"/>
      <c r="AQ355" s="100"/>
      <c r="AR355" s="100"/>
      <c r="AS355" s="100"/>
      <c r="AT355" s="100"/>
      <c r="AU355" s="100"/>
      <c r="AV355" s="100"/>
      <c r="AW355" s="100"/>
      <c r="AX355" s="100"/>
    </row>
    <row r="356" spans="12:50" s="47" customFormat="1" ht="14.25">
      <c r="L356" s="51"/>
      <c r="P356" s="100"/>
      <c r="Q356" s="104"/>
      <c r="R356" s="100"/>
      <c r="T356" s="100"/>
      <c r="W356" s="100"/>
      <c r="AK356" s="84"/>
      <c r="AQ356" s="100"/>
      <c r="AR356" s="100"/>
      <c r="AS356" s="100"/>
      <c r="AT356" s="100"/>
      <c r="AU356" s="100"/>
      <c r="AV356" s="100"/>
      <c r="AW356" s="100"/>
      <c r="AX356" s="100"/>
    </row>
    <row r="357" spans="12:50" s="47" customFormat="1" ht="14.25">
      <c r="L357" s="51"/>
      <c r="P357" s="100"/>
      <c r="Q357" s="104"/>
      <c r="R357" s="100"/>
      <c r="T357" s="100"/>
      <c r="W357" s="100"/>
      <c r="AK357" s="84"/>
      <c r="AQ357" s="100"/>
      <c r="AR357" s="100"/>
      <c r="AS357" s="100"/>
      <c r="AT357" s="100"/>
      <c r="AU357" s="100"/>
      <c r="AV357" s="100"/>
      <c r="AW357" s="100"/>
      <c r="AX357" s="100"/>
    </row>
    <row r="358" spans="12:50" s="47" customFormat="1" ht="14.25">
      <c r="L358" s="51"/>
      <c r="P358" s="100"/>
      <c r="Q358" s="104"/>
      <c r="R358" s="100"/>
      <c r="T358" s="100"/>
      <c r="W358" s="100"/>
      <c r="AK358" s="84"/>
      <c r="AQ358" s="100"/>
      <c r="AR358" s="100"/>
      <c r="AS358" s="100"/>
      <c r="AT358" s="100"/>
      <c r="AU358" s="100"/>
      <c r="AV358" s="100"/>
      <c r="AW358" s="100"/>
      <c r="AX358" s="100"/>
    </row>
    <row r="359" spans="12:50" s="47" customFormat="1" ht="14.25">
      <c r="L359" s="51"/>
      <c r="P359" s="100"/>
      <c r="Q359" s="104"/>
      <c r="R359" s="100"/>
      <c r="T359" s="100"/>
      <c r="W359" s="100"/>
      <c r="AK359" s="84"/>
      <c r="AQ359" s="100"/>
      <c r="AR359" s="100"/>
      <c r="AS359" s="100"/>
      <c r="AT359" s="100"/>
      <c r="AU359" s="100"/>
      <c r="AV359" s="100"/>
      <c r="AW359" s="100"/>
      <c r="AX359" s="100"/>
    </row>
    <row r="360" spans="12:50" s="47" customFormat="1" ht="14.25">
      <c r="L360" s="51"/>
      <c r="P360" s="100"/>
      <c r="Q360" s="104"/>
      <c r="R360" s="100"/>
      <c r="T360" s="100"/>
      <c r="W360" s="100"/>
      <c r="AK360" s="84"/>
      <c r="AQ360" s="100"/>
      <c r="AR360" s="100"/>
      <c r="AS360" s="100"/>
      <c r="AT360" s="100"/>
      <c r="AU360" s="100"/>
      <c r="AV360" s="100"/>
      <c r="AW360" s="100"/>
      <c r="AX360" s="100"/>
    </row>
    <row r="361" spans="12:50" s="47" customFormat="1" ht="14.25">
      <c r="L361" s="51"/>
      <c r="P361" s="100"/>
      <c r="Q361" s="104"/>
      <c r="R361" s="100"/>
      <c r="T361" s="100"/>
      <c r="W361" s="100"/>
      <c r="AK361" s="84"/>
      <c r="AQ361" s="100"/>
      <c r="AR361" s="100"/>
      <c r="AS361" s="100"/>
      <c r="AT361" s="100"/>
      <c r="AU361" s="100"/>
      <c r="AV361" s="100"/>
      <c r="AW361" s="100"/>
      <c r="AX361" s="100"/>
    </row>
    <row r="362" spans="12:50" s="47" customFormat="1" ht="14.25">
      <c r="L362" s="51"/>
      <c r="P362" s="100"/>
      <c r="Q362" s="104"/>
      <c r="R362" s="100"/>
      <c r="T362" s="100"/>
      <c r="W362" s="100"/>
      <c r="AK362" s="84"/>
      <c r="AQ362" s="100"/>
      <c r="AR362" s="100"/>
      <c r="AS362" s="100"/>
      <c r="AT362" s="100"/>
      <c r="AU362" s="100"/>
      <c r="AV362" s="100"/>
      <c r="AW362" s="100"/>
      <c r="AX362" s="100"/>
    </row>
    <row r="363" spans="12:50" s="47" customFormat="1" ht="14.25">
      <c r="L363" s="51"/>
      <c r="P363" s="100"/>
      <c r="Q363" s="104"/>
      <c r="R363" s="100"/>
      <c r="T363" s="100"/>
      <c r="W363" s="100"/>
      <c r="AK363" s="84"/>
      <c r="AQ363" s="100"/>
      <c r="AR363" s="100"/>
      <c r="AS363" s="100"/>
      <c r="AT363" s="100"/>
      <c r="AU363" s="100"/>
      <c r="AV363" s="100"/>
      <c r="AW363" s="100"/>
      <c r="AX363" s="100"/>
    </row>
    <row r="364" spans="12:50" s="47" customFormat="1" ht="14.25">
      <c r="L364" s="51"/>
      <c r="P364" s="100"/>
      <c r="Q364" s="104"/>
      <c r="R364" s="100"/>
      <c r="T364" s="100"/>
      <c r="W364" s="100"/>
      <c r="AK364" s="84"/>
      <c r="AQ364" s="100"/>
      <c r="AR364" s="100"/>
      <c r="AS364" s="100"/>
      <c r="AT364" s="100"/>
      <c r="AU364" s="100"/>
      <c r="AV364" s="100"/>
      <c r="AW364" s="100"/>
      <c r="AX364" s="100"/>
    </row>
    <row r="365" spans="12:50" s="47" customFormat="1" ht="14.25">
      <c r="L365" s="51"/>
      <c r="P365" s="100"/>
      <c r="Q365" s="104"/>
      <c r="R365" s="100"/>
      <c r="T365" s="100"/>
      <c r="W365" s="100"/>
      <c r="AK365" s="84"/>
      <c r="AQ365" s="100"/>
      <c r="AR365" s="100"/>
      <c r="AS365" s="100"/>
      <c r="AT365" s="100"/>
      <c r="AU365" s="100"/>
      <c r="AV365" s="100"/>
      <c r="AW365" s="100"/>
      <c r="AX365" s="100"/>
    </row>
    <row r="366" spans="12:50" s="47" customFormat="1" ht="14.25">
      <c r="L366" s="51"/>
      <c r="P366" s="100"/>
      <c r="Q366" s="104"/>
      <c r="R366" s="100"/>
      <c r="T366" s="100"/>
      <c r="W366" s="100"/>
      <c r="AK366" s="84"/>
      <c r="AQ366" s="100"/>
      <c r="AR366" s="100"/>
      <c r="AS366" s="100"/>
      <c r="AT366" s="100"/>
      <c r="AU366" s="100"/>
      <c r="AV366" s="100"/>
      <c r="AW366" s="100"/>
      <c r="AX366" s="100"/>
    </row>
    <row r="367" spans="12:50" s="47" customFormat="1" ht="14.25">
      <c r="L367" s="51"/>
      <c r="P367" s="100"/>
      <c r="Q367" s="104"/>
      <c r="R367" s="100"/>
      <c r="T367" s="100"/>
      <c r="W367" s="100"/>
      <c r="AK367" s="84"/>
      <c r="AQ367" s="100"/>
      <c r="AR367" s="100"/>
      <c r="AS367" s="100"/>
      <c r="AT367" s="100"/>
      <c r="AU367" s="100"/>
      <c r="AV367" s="100"/>
      <c r="AW367" s="100"/>
      <c r="AX367" s="100"/>
    </row>
    <row r="368" spans="12:50" s="47" customFormat="1" ht="14.25">
      <c r="L368" s="51"/>
      <c r="P368" s="100"/>
      <c r="Q368" s="104"/>
      <c r="R368" s="100"/>
      <c r="T368" s="100"/>
      <c r="W368" s="100"/>
      <c r="AK368" s="84"/>
      <c r="AQ368" s="100"/>
      <c r="AR368" s="100"/>
      <c r="AS368" s="100"/>
      <c r="AT368" s="100"/>
      <c r="AU368" s="100"/>
      <c r="AV368" s="100"/>
      <c r="AW368" s="100"/>
      <c r="AX368" s="100"/>
    </row>
    <row r="369" spans="12:50" s="47" customFormat="1" ht="14.25">
      <c r="L369" s="51"/>
      <c r="P369" s="100"/>
      <c r="Q369" s="104"/>
      <c r="R369" s="100"/>
      <c r="T369" s="100"/>
      <c r="W369" s="100"/>
      <c r="AK369" s="84"/>
      <c r="AQ369" s="100"/>
      <c r="AR369" s="100"/>
      <c r="AS369" s="100"/>
      <c r="AT369" s="100"/>
      <c r="AU369" s="100"/>
      <c r="AV369" s="100"/>
      <c r="AW369" s="100"/>
      <c r="AX369" s="100"/>
    </row>
    <row r="370" spans="12:50" s="47" customFormat="1" ht="14.25">
      <c r="L370" s="51"/>
      <c r="P370" s="100"/>
      <c r="Q370" s="104"/>
      <c r="R370" s="100"/>
      <c r="T370" s="100"/>
      <c r="W370" s="100"/>
      <c r="AK370" s="84"/>
      <c r="AQ370" s="100"/>
      <c r="AR370" s="100"/>
      <c r="AS370" s="100"/>
      <c r="AT370" s="100"/>
      <c r="AU370" s="100"/>
      <c r="AV370" s="100"/>
      <c r="AW370" s="100"/>
      <c r="AX370" s="100"/>
    </row>
    <row r="371" spans="12:50" s="47" customFormat="1" ht="14.25">
      <c r="L371" s="51"/>
      <c r="P371" s="100"/>
      <c r="Q371" s="104"/>
      <c r="R371" s="100"/>
      <c r="T371" s="100"/>
      <c r="W371" s="100"/>
      <c r="AK371" s="84"/>
      <c r="AQ371" s="100"/>
      <c r="AR371" s="100"/>
      <c r="AS371" s="100"/>
      <c r="AT371" s="100"/>
      <c r="AU371" s="100"/>
      <c r="AV371" s="100"/>
      <c r="AW371" s="100"/>
      <c r="AX371" s="100"/>
    </row>
    <row r="372" spans="12:50" s="47" customFormat="1" ht="14.25">
      <c r="L372" s="51"/>
      <c r="P372" s="100"/>
      <c r="Q372" s="104"/>
      <c r="R372" s="100"/>
      <c r="T372" s="100"/>
      <c r="W372" s="100"/>
      <c r="AK372" s="84"/>
      <c r="AQ372" s="100"/>
      <c r="AR372" s="100"/>
      <c r="AS372" s="100"/>
      <c r="AT372" s="100"/>
      <c r="AU372" s="100"/>
      <c r="AV372" s="100"/>
      <c r="AW372" s="100"/>
      <c r="AX372" s="100"/>
    </row>
    <row r="373" spans="12:50" s="47" customFormat="1" ht="14.25">
      <c r="L373" s="51"/>
      <c r="P373" s="100"/>
      <c r="Q373" s="104"/>
      <c r="R373" s="100"/>
      <c r="T373" s="100"/>
      <c r="W373" s="100"/>
      <c r="AK373" s="84"/>
      <c r="AQ373" s="100"/>
      <c r="AR373" s="100"/>
      <c r="AS373" s="100"/>
      <c r="AT373" s="100"/>
      <c r="AU373" s="100"/>
      <c r="AV373" s="100"/>
      <c r="AW373" s="100"/>
      <c r="AX373" s="100"/>
    </row>
    <row r="374" spans="12:50" s="47" customFormat="1" ht="14.25">
      <c r="L374" s="51"/>
      <c r="P374" s="100"/>
      <c r="Q374" s="104"/>
      <c r="R374" s="100"/>
      <c r="T374" s="100"/>
      <c r="W374" s="100"/>
      <c r="AK374" s="84"/>
      <c r="AQ374" s="100"/>
      <c r="AR374" s="100"/>
      <c r="AS374" s="100"/>
      <c r="AT374" s="100"/>
      <c r="AU374" s="100"/>
      <c r="AV374" s="100"/>
      <c r="AW374" s="100"/>
      <c r="AX374" s="100"/>
    </row>
    <row r="375" spans="12:50" s="47" customFormat="1" ht="14.25">
      <c r="L375" s="51"/>
      <c r="P375" s="100"/>
      <c r="Q375" s="104"/>
      <c r="R375" s="100"/>
      <c r="T375" s="100"/>
      <c r="W375" s="100"/>
      <c r="AK375" s="84"/>
      <c r="AQ375" s="100"/>
      <c r="AR375" s="100"/>
      <c r="AS375" s="100"/>
      <c r="AT375" s="100"/>
      <c r="AU375" s="100"/>
      <c r="AV375" s="100"/>
      <c r="AW375" s="100"/>
      <c r="AX375" s="100"/>
    </row>
    <row r="376" spans="12:50" s="47" customFormat="1" ht="14.25">
      <c r="L376" s="51"/>
      <c r="P376" s="100"/>
      <c r="Q376" s="104"/>
      <c r="R376" s="100"/>
      <c r="T376" s="100"/>
      <c r="W376" s="100"/>
      <c r="AK376" s="84"/>
      <c r="AQ376" s="100"/>
      <c r="AR376" s="100"/>
      <c r="AS376" s="100"/>
      <c r="AT376" s="100"/>
      <c r="AU376" s="100"/>
      <c r="AV376" s="100"/>
      <c r="AW376" s="100"/>
      <c r="AX376" s="100"/>
    </row>
    <row r="377" spans="12:50" s="47" customFormat="1" ht="14.25">
      <c r="L377" s="51"/>
      <c r="P377" s="100"/>
      <c r="Q377" s="104"/>
      <c r="R377" s="100"/>
      <c r="T377" s="100"/>
      <c r="W377" s="100"/>
      <c r="AK377" s="84"/>
      <c r="AQ377" s="100"/>
      <c r="AR377" s="100"/>
      <c r="AS377" s="100"/>
      <c r="AT377" s="100"/>
      <c r="AU377" s="100"/>
      <c r="AV377" s="100"/>
      <c r="AW377" s="100"/>
      <c r="AX377" s="100"/>
    </row>
    <row r="378" spans="12:50" s="47" customFormat="1" ht="14.25">
      <c r="L378" s="51"/>
      <c r="P378" s="100"/>
      <c r="Q378" s="104"/>
      <c r="R378" s="100"/>
      <c r="T378" s="100"/>
      <c r="W378" s="100"/>
      <c r="AK378" s="84"/>
      <c r="AQ378" s="100"/>
      <c r="AR378" s="100"/>
      <c r="AS378" s="100"/>
      <c r="AT378" s="100"/>
      <c r="AU378" s="100"/>
      <c r="AV378" s="100"/>
      <c r="AW378" s="100"/>
      <c r="AX378" s="100"/>
    </row>
    <row r="379" spans="12:50" s="47" customFormat="1" ht="14.25">
      <c r="L379" s="51"/>
      <c r="P379" s="100"/>
      <c r="Q379" s="104"/>
      <c r="R379" s="100"/>
      <c r="T379" s="100"/>
      <c r="W379" s="100"/>
      <c r="AK379" s="84"/>
      <c r="AQ379" s="100"/>
      <c r="AR379" s="100"/>
      <c r="AS379" s="100"/>
      <c r="AT379" s="100"/>
      <c r="AU379" s="100"/>
      <c r="AV379" s="100"/>
      <c r="AW379" s="100"/>
      <c r="AX379" s="100"/>
    </row>
    <row r="380" spans="12:50" s="47" customFormat="1" ht="14.25">
      <c r="L380" s="51"/>
      <c r="P380" s="100"/>
      <c r="Q380" s="104"/>
      <c r="R380" s="100"/>
      <c r="T380" s="100"/>
      <c r="W380" s="100"/>
      <c r="AK380" s="84"/>
      <c r="AQ380" s="100"/>
      <c r="AR380" s="100"/>
      <c r="AS380" s="100"/>
      <c r="AT380" s="100"/>
      <c r="AU380" s="100"/>
      <c r="AV380" s="100"/>
      <c r="AW380" s="100"/>
      <c r="AX380" s="100"/>
    </row>
    <row r="381" spans="12:50" s="47" customFormat="1" ht="14.25">
      <c r="L381" s="51"/>
      <c r="P381" s="100"/>
      <c r="Q381" s="104"/>
      <c r="R381" s="100"/>
      <c r="T381" s="100"/>
      <c r="W381" s="100"/>
      <c r="AK381" s="84"/>
      <c r="AQ381" s="100"/>
      <c r="AR381" s="100"/>
      <c r="AS381" s="100"/>
      <c r="AT381" s="100"/>
      <c r="AU381" s="100"/>
      <c r="AV381" s="100"/>
      <c r="AW381" s="100"/>
      <c r="AX381" s="100"/>
    </row>
    <row r="382" spans="12:50" s="47" customFormat="1" ht="14.25">
      <c r="L382" s="51"/>
      <c r="P382" s="100"/>
      <c r="Q382" s="104"/>
      <c r="R382" s="100"/>
      <c r="T382" s="100"/>
      <c r="W382" s="100"/>
      <c r="AK382" s="84"/>
      <c r="AQ382" s="100"/>
      <c r="AR382" s="100"/>
      <c r="AS382" s="100"/>
      <c r="AT382" s="100"/>
      <c r="AU382" s="100"/>
      <c r="AV382" s="100"/>
      <c r="AW382" s="100"/>
      <c r="AX382" s="100"/>
    </row>
    <row r="383" spans="12:50" s="47" customFormat="1" ht="14.25">
      <c r="L383" s="51"/>
      <c r="P383" s="100"/>
      <c r="Q383" s="104"/>
      <c r="R383" s="100"/>
      <c r="T383" s="100"/>
      <c r="W383" s="100"/>
      <c r="AK383" s="84"/>
      <c r="AQ383" s="100"/>
      <c r="AR383" s="100"/>
      <c r="AS383" s="100"/>
      <c r="AT383" s="100"/>
      <c r="AU383" s="100"/>
      <c r="AV383" s="100"/>
      <c r="AW383" s="100"/>
      <c r="AX383" s="100"/>
    </row>
    <row r="384" spans="12:50" s="47" customFormat="1" ht="14.25">
      <c r="L384" s="51"/>
      <c r="P384" s="100"/>
      <c r="Q384" s="104"/>
      <c r="R384" s="100"/>
      <c r="T384" s="100"/>
      <c r="W384" s="100"/>
      <c r="AK384" s="84"/>
      <c r="AQ384" s="100"/>
      <c r="AR384" s="100"/>
      <c r="AS384" s="100"/>
      <c r="AT384" s="100"/>
      <c r="AU384" s="100"/>
      <c r="AV384" s="100"/>
      <c r="AW384" s="100"/>
      <c r="AX384" s="100"/>
    </row>
    <row r="385" spans="12:50" s="47" customFormat="1" ht="14.25">
      <c r="L385" s="51"/>
      <c r="P385" s="100"/>
      <c r="Q385" s="104"/>
      <c r="R385" s="100"/>
      <c r="T385" s="100"/>
      <c r="W385" s="100"/>
      <c r="AK385" s="84"/>
      <c r="AQ385" s="100"/>
      <c r="AR385" s="100"/>
      <c r="AS385" s="100"/>
      <c r="AT385" s="100"/>
      <c r="AU385" s="100"/>
      <c r="AV385" s="100"/>
      <c r="AW385" s="100"/>
      <c r="AX385" s="100"/>
    </row>
    <row r="386" spans="12:50" s="47" customFormat="1" ht="14.25">
      <c r="L386" s="51"/>
      <c r="P386" s="100"/>
      <c r="Q386" s="104"/>
      <c r="R386" s="100"/>
      <c r="T386" s="100"/>
      <c r="W386" s="100"/>
      <c r="AK386" s="84"/>
      <c r="AQ386" s="100"/>
      <c r="AR386" s="100"/>
      <c r="AS386" s="100"/>
      <c r="AT386" s="100"/>
      <c r="AU386" s="100"/>
      <c r="AV386" s="100"/>
      <c r="AW386" s="100"/>
      <c r="AX386" s="100"/>
    </row>
    <row r="387" spans="12:50" s="47" customFormat="1" ht="14.25">
      <c r="L387" s="51"/>
      <c r="P387" s="100"/>
      <c r="Q387" s="104"/>
      <c r="R387" s="100"/>
      <c r="T387" s="100"/>
      <c r="W387" s="100"/>
      <c r="AK387" s="84"/>
      <c r="AQ387" s="100"/>
      <c r="AR387" s="100"/>
      <c r="AS387" s="100"/>
      <c r="AT387" s="100"/>
      <c r="AU387" s="100"/>
      <c r="AV387" s="100"/>
      <c r="AW387" s="100"/>
      <c r="AX387" s="100"/>
    </row>
    <row r="388" spans="12:50" s="47" customFormat="1" ht="14.25">
      <c r="L388" s="51"/>
      <c r="P388" s="100"/>
      <c r="Q388" s="104"/>
      <c r="R388" s="100"/>
      <c r="T388" s="100"/>
      <c r="W388" s="100"/>
      <c r="AK388" s="84"/>
      <c r="AQ388" s="100"/>
      <c r="AR388" s="100"/>
      <c r="AS388" s="100"/>
      <c r="AT388" s="100"/>
      <c r="AU388" s="100"/>
      <c r="AV388" s="100"/>
      <c r="AW388" s="100"/>
      <c r="AX388" s="100"/>
    </row>
    <row r="389" spans="12:50" s="47" customFormat="1" ht="14.25">
      <c r="L389" s="51"/>
      <c r="P389" s="100"/>
      <c r="Q389" s="104"/>
      <c r="R389" s="100"/>
      <c r="T389" s="100"/>
      <c r="W389" s="100"/>
      <c r="AK389" s="84"/>
      <c r="AQ389" s="100"/>
      <c r="AR389" s="100"/>
      <c r="AS389" s="100"/>
      <c r="AT389" s="100"/>
      <c r="AU389" s="100"/>
      <c r="AV389" s="100"/>
      <c r="AW389" s="100"/>
      <c r="AX389" s="100"/>
    </row>
    <row r="390" spans="12:50" s="47" customFormat="1" ht="14.25">
      <c r="L390" s="51"/>
      <c r="P390" s="100"/>
      <c r="Q390" s="104"/>
      <c r="R390" s="100"/>
      <c r="T390" s="100"/>
      <c r="W390" s="100"/>
      <c r="AK390" s="84"/>
      <c r="AQ390" s="100"/>
      <c r="AR390" s="100"/>
      <c r="AS390" s="100"/>
      <c r="AT390" s="100"/>
      <c r="AU390" s="100"/>
      <c r="AV390" s="100"/>
      <c r="AW390" s="100"/>
      <c r="AX390" s="100"/>
    </row>
    <row r="391" spans="12:50" s="47" customFormat="1" ht="14.25">
      <c r="L391" s="51"/>
      <c r="P391" s="100"/>
      <c r="Q391" s="104"/>
      <c r="R391" s="100"/>
      <c r="T391" s="100"/>
      <c r="W391" s="100"/>
      <c r="AK391" s="84"/>
      <c r="AQ391" s="100"/>
      <c r="AR391" s="100"/>
      <c r="AS391" s="100"/>
      <c r="AT391" s="100"/>
      <c r="AU391" s="100"/>
      <c r="AV391" s="100"/>
      <c r="AW391" s="100"/>
      <c r="AX391" s="100"/>
    </row>
    <row r="392" spans="12:50" s="47" customFormat="1" ht="14.25">
      <c r="L392" s="51"/>
      <c r="P392" s="100"/>
      <c r="Q392" s="104"/>
      <c r="R392" s="100"/>
      <c r="T392" s="100"/>
      <c r="W392" s="100"/>
      <c r="AK392" s="84"/>
      <c r="AQ392" s="100"/>
      <c r="AR392" s="100"/>
      <c r="AS392" s="100"/>
      <c r="AT392" s="100"/>
      <c r="AU392" s="100"/>
      <c r="AV392" s="100"/>
      <c r="AW392" s="100"/>
      <c r="AX392" s="100"/>
    </row>
    <row r="393" spans="12:50" s="47" customFormat="1" ht="14.25">
      <c r="L393" s="51"/>
      <c r="P393" s="100"/>
      <c r="Q393" s="104"/>
      <c r="R393" s="100"/>
      <c r="T393" s="100"/>
      <c r="W393" s="100"/>
      <c r="AK393" s="84"/>
      <c r="AQ393" s="100"/>
      <c r="AR393" s="100"/>
      <c r="AS393" s="100"/>
      <c r="AT393" s="100"/>
      <c r="AU393" s="100"/>
      <c r="AV393" s="100"/>
      <c r="AW393" s="100"/>
      <c r="AX393" s="100"/>
    </row>
    <row r="394" spans="12:50" s="47" customFormat="1" ht="14.25">
      <c r="L394" s="51"/>
      <c r="P394" s="100"/>
      <c r="Q394" s="104"/>
      <c r="R394" s="100"/>
      <c r="T394" s="100"/>
      <c r="W394" s="100"/>
      <c r="AK394" s="84"/>
      <c r="AQ394" s="100"/>
      <c r="AR394" s="100"/>
      <c r="AS394" s="100"/>
      <c r="AT394" s="100"/>
      <c r="AU394" s="100"/>
      <c r="AV394" s="100"/>
      <c r="AW394" s="100"/>
      <c r="AX394" s="100"/>
    </row>
    <row r="395" spans="12:50" s="47" customFormat="1" ht="14.25">
      <c r="L395" s="51"/>
      <c r="P395" s="100"/>
      <c r="Q395" s="104"/>
      <c r="R395" s="100"/>
      <c r="T395" s="100"/>
      <c r="W395" s="100"/>
      <c r="AK395" s="84"/>
      <c r="AQ395" s="100"/>
      <c r="AR395" s="100"/>
      <c r="AS395" s="100"/>
      <c r="AT395" s="100"/>
      <c r="AU395" s="100"/>
      <c r="AV395" s="100"/>
      <c r="AW395" s="100"/>
      <c r="AX395" s="100"/>
    </row>
    <row r="396" spans="12:50" s="47" customFormat="1" ht="14.25">
      <c r="L396" s="51"/>
      <c r="P396" s="100"/>
      <c r="Q396" s="104"/>
      <c r="R396" s="100"/>
      <c r="T396" s="100"/>
      <c r="W396" s="100"/>
      <c r="AK396" s="84"/>
      <c r="AQ396" s="100"/>
      <c r="AR396" s="100"/>
      <c r="AS396" s="100"/>
      <c r="AT396" s="100"/>
      <c r="AU396" s="100"/>
      <c r="AV396" s="100"/>
      <c r="AW396" s="100"/>
      <c r="AX396" s="100"/>
    </row>
    <row r="397" spans="12:50" s="47" customFormat="1" ht="14.25">
      <c r="L397" s="51"/>
      <c r="P397" s="100"/>
      <c r="Q397" s="104"/>
      <c r="R397" s="100"/>
      <c r="T397" s="100"/>
      <c r="W397" s="100"/>
      <c r="AK397" s="84"/>
      <c r="AQ397" s="100"/>
      <c r="AR397" s="100"/>
      <c r="AS397" s="100"/>
      <c r="AT397" s="100"/>
      <c r="AU397" s="100"/>
      <c r="AV397" s="100"/>
      <c r="AW397" s="100"/>
      <c r="AX397" s="100"/>
    </row>
    <row r="398" spans="12:50" s="47" customFormat="1" ht="14.25">
      <c r="L398" s="51"/>
      <c r="P398" s="100"/>
      <c r="Q398" s="104"/>
      <c r="R398" s="100"/>
      <c r="T398" s="100"/>
      <c r="W398" s="100"/>
      <c r="AK398" s="84"/>
      <c r="AQ398" s="100"/>
      <c r="AR398" s="100"/>
      <c r="AS398" s="100"/>
      <c r="AT398" s="100"/>
      <c r="AU398" s="100"/>
      <c r="AV398" s="100"/>
      <c r="AW398" s="100"/>
      <c r="AX398" s="100"/>
    </row>
    <row r="399" spans="12:50" s="47" customFormat="1" ht="14.25">
      <c r="L399" s="51"/>
      <c r="P399" s="100"/>
      <c r="Q399" s="104"/>
      <c r="R399" s="100"/>
      <c r="T399" s="100"/>
      <c r="W399" s="100"/>
      <c r="AK399" s="84"/>
      <c r="AQ399" s="100"/>
      <c r="AR399" s="100"/>
      <c r="AS399" s="100"/>
      <c r="AT399" s="100"/>
      <c r="AU399" s="100"/>
      <c r="AV399" s="100"/>
      <c r="AW399" s="100"/>
      <c r="AX399" s="100"/>
    </row>
    <row r="400" spans="12:50" s="47" customFormat="1" ht="14.25">
      <c r="L400" s="51"/>
      <c r="P400" s="100"/>
      <c r="Q400" s="104"/>
      <c r="R400" s="100"/>
      <c r="T400" s="100"/>
      <c r="W400" s="100"/>
      <c r="AK400" s="84"/>
      <c r="AQ400" s="100"/>
      <c r="AR400" s="100"/>
      <c r="AS400" s="100"/>
      <c r="AT400" s="100"/>
      <c r="AU400" s="100"/>
      <c r="AV400" s="100"/>
      <c r="AW400" s="100"/>
      <c r="AX400" s="100"/>
    </row>
    <row r="401" spans="12:50" s="47" customFormat="1" ht="14.25">
      <c r="L401" s="51"/>
      <c r="P401" s="100"/>
      <c r="Q401" s="104"/>
      <c r="R401" s="100"/>
      <c r="T401" s="100"/>
      <c r="W401" s="100"/>
      <c r="AK401" s="84"/>
      <c r="AQ401" s="100"/>
      <c r="AR401" s="100"/>
      <c r="AS401" s="100"/>
      <c r="AT401" s="100"/>
      <c r="AU401" s="100"/>
      <c r="AV401" s="100"/>
      <c r="AW401" s="100"/>
      <c r="AX401" s="100"/>
    </row>
    <row r="402" spans="12:50" s="47" customFormat="1" ht="14.25">
      <c r="L402" s="51"/>
      <c r="P402" s="100"/>
      <c r="Q402" s="104"/>
      <c r="R402" s="100"/>
      <c r="T402" s="100"/>
      <c r="W402" s="100"/>
      <c r="AK402" s="84"/>
      <c r="AQ402" s="100"/>
      <c r="AR402" s="100"/>
      <c r="AS402" s="100"/>
      <c r="AT402" s="100"/>
      <c r="AU402" s="100"/>
      <c r="AV402" s="100"/>
      <c r="AW402" s="100"/>
      <c r="AX402" s="100"/>
    </row>
  </sheetData>
  <autoFilter ref="C2:AX2" xr:uid="{73452386-98CF-4BD2-8F44-BA4FF09A3F57}"/>
  <mergeCells count="1">
    <mergeCell ref="AP1:AV1"/>
  </mergeCells>
  <phoneticPr fontId="74" type="noConversion"/>
  <hyperlinks>
    <hyperlink ref="Q3" r:id="rId1" display="TEL:0086-574-87275231" xr:uid="{639FFF1A-8EF2-4F1A-9983-A88EF2035CB4}"/>
    <hyperlink ref="R3" r:id="rId2" display="mailto:ningbocarol@126.com" xr:uid="{5ADFC1E0-4045-4FF8-B62B-4FEC0A0DBAA8}"/>
    <hyperlink ref="R5" r:id="rId3" xr:uid="{B9CBC69C-FEEC-48E9-8568-63E5347F5A34}"/>
    <hyperlink ref="R6" r:id="rId4" xr:uid="{0A49FFBF-2709-4717-81F4-401CFE0024C9}"/>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6AD13-A6C3-4B8A-9038-83559F7FA581}">
  <sheetPr>
    <pageSetUpPr fitToPage="1"/>
  </sheetPr>
  <dimension ref="A1:R79"/>
  <sheetViews>
    <sheetView workbookViewId="0">
      <selection activeCell="H26" sqref="H26"/>
    </sheetView>
  </sheetViews>
  <sheetFormatPr defaultRowHeight="15"/>
  <cols>
    <col min="5" max="5" width="6.5703125" customWidth="1"/>
    <col min="6" max="6" width="5" customWidth="1"/>
    <col min="7" max="7" width="5.7109375" customWidth="1"/>
    <col min="8" max="14" width="11.28515625" customWidth="1"/>
  </cols>
  <sheetData>
    <row r="1" spans="1:18">
      <c r="A1" t="s">
        <v>65</v>
      </c>
      <c r="C1" s="38">
        <v>632</v>
      </c>
    </row>
    <row r="6" spans="1:18" ht="15.75">
      <c r="E6" s="148" t="s">
        <v>0</v>
      </c>
      <c r="F6" s="148"/>
      <c r="G6" s="148"/>
      <c r="H6" s="148"/>
      <c r="I6" s="148"/>
      <c r="J6" s="148"/>
      <c r="K6" s="148"/>
      <c r="L6" s="148"/>
      <c r="M6" s="148"/>
      <c r="N6" s="148"/>
      <c r="O6" s="148"/>
      <c r="P6" s="148"/>
      <c r="Q6" s="148"/>
      <c r="R6" s="148"/>
    </row>
    <row r="8" spans="1:18">
      <c r="F8" s="5" t="e">
        <f>_xlfn.XLOOKUP(C1,'Contract Data'!C:C,'Contract Data'!I:I)</f>
        <v>#N/A</v>
      </c>
      <c r="G8" s="1"/>
      <c r="H8" s="4"/>
    </row>
    <row r="9" spans="1:18">
      <c r="F9" s="151"/>
      <c r="G9" s="151"/>
      <c r="H9" s="151"/>
    </row>
    <row r="10" spans="1:18" ht="15.75">
      <c r="F10" s="13" t="s">
        <v>1</v>
      </c>
      <c r="G10" s="13"/>
      <c r="H10" s="13"/>
    </row>
    <row r="11" spans="1:18" ht="15.75">
      <c r="F11" s="13" t="e">
        <f>_xlfn.XLOOKUP(C1,'Contract Data'!C:C,'Contract Data'!H:H)</f>
        <v>#N/A</v>
      </c>
    </row>
    <row r="12" spans="1:18" ht="16.5" customHeight="1">
      <c r="F12" s="147" t="e">
        <f>_xlfn.XLOOKUP(C1,'Contract Data'!C:C,'Contract Data'!J:J)&amp;", "&amp;_xlfn.XLOOKUP('India - Fix'!C1,'Contract Data'!C:C,'Contract Data'!#REF!)&amp;", "&amp;_xlfn.XLOOKUP('India - Fix'!C1,'Contract Data'!C:C,'Contract Data'!#REF!)&amp;", "&amp;_xlfn.XLOOKUP('India - Fix'!C1,'Contract Data'!C:C,'Contract Data'!M:M)&amp;", "&amp;_xlfn.XLOOKUP('India - Fix'!C1,'Contract Data'!C:C,'Contract Data'!N:N)&amp;", "&amp;_xlfn.XLOOKUP('India - Fix'!C1,'Contract Data'!C:C,'Contract Data'!O:O)&amp;", "&amp;_xlfn.XLOOKUP('India - Fix'!C1,'Contract Data'!C:C,'Contract Data'!Q:Q)&amp;", "&amp;_xlfn.XLOOKUP('India - Fix'!C1,'Contract Data'!C:C,'Contract Data'!R:R)&amp;", "&amp;_xlfn.XLOOKUP('India - Fix'!C1,'Contract Data'!C:C,'Contract Data'!S:S)</f>
        <v>#N/A</v>
      </c>
      <c r="G12" s="147"/>
      <c r="H12" s="147"/>
      <c r="I12" s="147"/>
      <c r="J12" s="147"/>
      <c r="K12" s="147"/>
    </row>
    <row r="13" spans="1:18" ht="16.5" customHeight="1">
      <c r="F13" s="147"/>
      <c r="G13" s="147"/>
      <c r="H13" s="147"/>
      <c r="I13" s="147"/>
      <c r="J13" s="147"/>
      <c r="K13" s="147"/>
    </row>
    <row r="14" spans="1:18" ht="16.5" customHeight="1">
      <c r="F14" s="147"/>
      <c r="G14" s="147"/>
      <c r="H14" s="147"/>
      <c r="I14" s="147"/>
      <c r="J14" s="147"/>
      <c r="K14" s="147"/>
    </row>
    <row r="15" spans="1:18" ht="15.75" customHeight="1">
      <c r="F15" s="147"/>
      <c r="G15" s="147"/>
      <c r="H15" s="147"/>
      <c r="I15" s="147"/>
      <c r="J15" s="147"/>
      <c r="K15" s="147"/>
    </row>
    <row r="16" spans="1:18" ht="15.75" customHeight="1">
      <c r="F16" s="147"/>
      <c r="G16" s="147"/>
      <c r="H16" s="147"/>
      <c r="I16" s="147"/>
      <c r="J16" s="147"/>
      <c r="K16" s="147"/>
    </row>
    <row r="17" spans="6:18" ht="15.75" customHeight="1">
      <c r="F17" s="147"/>
      <c r="G17" s="147"/>
      <c r="H17" s="147"/>
      <c r="I17" s="147"/>
      <c r="J17" s="147"/>
      <c r="K17" s="147"/>
    </row>
    <row r="18" spans="6:18" ht="15.75">
      <c r="F18" s="7"/>
      <c r="G18" s="7"/>
      <c r="H18" s="7"/>
    </row>
    <row r="19" spans="6:18" ht="18" customHeight="1">
      <c r="F19" s="41" t="s">
        <v>2</v>
      </c>
      <c r="G19" s="41"/>
      <c r="H19" s="41"/>
    </row>
    <row r="20" spans="6:18" ht="15.75">
      <c r="F20" s="7"/>
      <c r="G20" s="7"/>
      <c r="H20" s="14"/>
    </row>
    <row r="21" spans="6:18" s="2" customFormat="1" ht="15.75" customHeight="1">
      <c r="F21" s="15" t="s">
        <v>5</v>
      </c>
      <c r="G21" s="147" t="s">
        <v>4</v>
      </c>
      <c r="H21" s="147"/>
    </row>
    <row r="22" spans="6:18" s="2" customFormat="1" ht="18.75" customHeight="1">
      <c r="F22" s="15"/>
      <c r="G22" s="37">
        <v>1.1000000000000001</v>
      </c>
      <c r="H22" s="44" t="s">
        <v>70</v>
      </c>
      <c r="I22" s="40"/>
      <c r="J22" s="40"/>
    </row>
    <row r="23" spans="6:18" s="2" customFormat="1" ht="53.25" customHeight="1">
      <c r="F23" s="15"/>
      <c r="G23" s="37">
        <v>1.2</v>
      </c>
      <c r="H23" s="149" t="s">
        <v>71</v>
      </c>
      <c r="I23" s="150"/>
      <c r="J23" s="150"/>
      <c r="K23" s="150"/>
      <c r="L23" s="150"/>
      <c r="M23" s="150"/>
      <c r="N23" s="150"/>
      <c r="O23" s="150"/>
      <c r="P23" s="150"/>
      <c r="Q23" s="150"/>
      <c r="R23" s="150"/>
    </row>
    <row r="24" spans="6:18" ht="23.25" customHeight="1">
      <c r="F24" s="42"/>
      <c r="G24" s="37">
        <v>1.3</v>
      </c>
      <c r="H24" s="46" t="s">
        <v>72</v>
      </c>
      <c r="I24" s="45"/>
      <c r="J24" s="45"/>
      <c r="K24" s="45"/>
      <c r="L24" s="45"/>
      <c r="M24" s="44"/>
      <c r="N24" s="44"/>
      <c r="O24" s="44"/>
    </row>
    <row r="25" spans="6:18" ht="15.75">
      <c r="F25" s="42"/>
      <c r="G25" s="37">
        <v>1.4</v>
      </c>
      <c r="H25" s="46" t="s">
        <v>73</v>
      </c>
      <c r="I25" s="44"/>
      <c r="J25" s="44"/>
      <c r="K25" s="44"/>
      <c r="L25" s="44"/>
      <c r="M25" s="44"/>
      <c r="N25" s="44"/>
      <c r="O25" s="44"/>
    </row>
    <row r="26" spans="6:18" ht="15.75">
      <c r="F26" s="42"/>
      <c r="G26" s="37">
        <v>1.5</v>
      </c>
      <c r="H26" s="43"/>
    </row>
    <row r="27" spans="6:18" ht="15.75">
      <c r="F27" s="42"/>
      <c r="G27" s="37">
        <v>1.6</v>
      </c>
      <c r="H27" s="43"/>
    </row>
    <row r="28" spans="6:18" s="2" customFormat="1" ht="15.75">
      <c r="F28" s="17"/>
      <c r="G28" s="17"/>
      <c r="H28" s="16"/>
    </row>
    <row r="29" spans="6:18" s="2" customFormat="1" ht="15.75" customHeight="1">
      <c r="F29" s="15" t="s">
        <v>6</v>
      </c>
      <c r="G29" s="153" t="s">
        <v>15</v>
      </c>
      <c r="H29" s="153"/>
    </row>
    <row r="30" spans="6:18" s="2" customFormat="1" ht="51" customHeight="1">
      <c r="F30" s="17"/>
      <c r="G30" s="135" t="s">
        <v>16</v>
      </c>
      <c r="H30" s="135"/>
    </row>
    <row r="31" spans="6:18" ht="14.25" customHeight="1">
      <c r="F31" s="7"/>
      <c r="G31" s="7"/>
      <c r="H31" s="18"/>
    </row>
    <row r="32" spans="6:18" s="3" customFormat="1" ht="18" customHeight="1">
      <c r="F32" s="19" t="s">
        <v>7</v>
      </c>
      <c r="G32" s="153" t="s">
        <v>17</v>
      </c>
      <c r="H32" s="153"/>
    </row>
    <row r="33" spans="5:11" s="3" customFormat="1" ht="15.75">
      <c r="F33" s="20"/>
      <c r="G33" s="20"/>
      <c r="H33" s="21"/>
    </row>
    <row r="34" spans="5:11" s="3" customFormat="1" ht="52.5" customHeight="1">
      <c r="F34" s="19" t="s">
        <v>8</v>
      </c>
      <c r="G34" s="140" t="s">
        <v>18</v>
      </c>
      <c r="H34" s="140"/>
    </row>
    <row r="35" spans="5:11" s="3" customFormat="1" ht="15.75">
      <c r="F35" s="20"/>
      <c r="G35" s="20"/>
      <c r="H35" s="16"/>
    </row>
    <row r="36" spans="5:11" s="3" customFormat="1" ht="55.5" customHeight="1">
      <c r="F36" s="19" t="s">
        <v>9</v>
      </c>
      <c r="G36" s="140" t="s">
        <v>19</v>
      </c>
      <c r="H36" s="140"/>
    </row>
    <row r="37" spans="5:11" s="3" customFormat="1" ht="15.75">
      <c r="F37" s="20"/>
      <c r="G37" s="20"/>
      <c r="H37" s="16"/>
    </row>
    <row r="38" spans="5:11" s="3" customFormat="1" ht="68.25" customHeight="1">
      <c r="F38" s="19" t="s">
        <v>10</v>
      </c>
      <c r="G38" s="140" t="s">
        <v>20</v>
      </c>
      <c r="H38" s="140"/>
    </row>
    <row r="39" spans="5:11" s="3" customFormat="1" ht="15.75">
      <c r="F39" s="20"/>
      <c r="G39" s="20"/>
      <c r="H39" s="16"/>
    </row>
    <row r="40" spans="5:11" s="3" customFormat="1" ht="117.75" customHeight="1">
      <c r="F40" s="19" t="s">
        <v>11</v>
      </c>
      <c r="G40" s="140" t="s">
        <v>21</v>
      </c>
      <c r="H40" s="140"/>
    </row>
    <row r="41" spans="5:11" s="3" customFormat="1" ht="82.5" customHeight="1">
      <c r="F41" s="20"/>
      <c r="G41" s="139" t="s">
        <v>3</v>
      </c>
      <c r="H41" s="139"/>
    </row>
    <row r="42" spans="5:11" s="3" customFormat="1" ht="23.25" customHeight="1">
      <c r="F42" s="20"/>
      <c r="G42" s="36"/>
      <c r="H42" s="36"/>
    </row>
    <row r="43" spans="5:11" s="3" customFormat="1" ht="19.5" customHeight="1">
      <c r="E43" s="22"/>
      <c r="F43" s="22"/>
      <c r="G43" s="24"/>
      <c r="H43" s="24"/>
    </row>
    <row r="44" spans="5:11">
      <c r="E44" s="25" t="s">
        <v>12</v>
      </c>
      <c r="F44" s="25" t="s">
        <v>12</v>
      </c>
      <c r="G44" s="23"/>
      <c r="H44" s="23"/>
      <c r="J44" s="8"/>
      <c r="K44" s="8"/>
    </row>
    <row r="45" spans="5:11">
      <c r="E45" s="26" t="s">
        <v>66</v>
      </c>
      <c r="F45" s="23"/>
      <c r="G45" s="26"/>
      <c r="H45" s="26"/>
      <c r="I45" s="11"/>
      <c r="J45" s="8"/>
      <c r="K45" s="8"/>
    </row>
    <row r="46" spans="5:11">
      <c r="E46" s="26" t="s">
        <v>67</v>
      </c>
      <c r="F46" s="26"/>
      <c r="G46" s="26"/>
      <c r="H46" s="26"/>
      <c r="I46" s="11"/>
      <c r="J46" s="8"/>
      <c r="K46" s="8"/>
    </row>
    <row r="47" spans="5:11">
      <c r="E47" s="26" t="s">
        <v>68</v>
      </c>
      <c r="F47" s="26"/>
      <c r="G47" s="26"/>
      <c r="H47" s="26"/>
      <c r="I47" s="11"/>
      <c r="J47" s="8"/>
    </row>
    <row r="48" spans="5:11">
      <c r="E48" s="26" t="s">
        <v>69</v>
      </c>
      <c r="F48" s="26"/>
      <c r="G48" s="26"/>
      <c r="H48" s="39"/>
      <c r="I48" s="10"/>
      <c r="J48" s="9"/>
    </row>
    <row r="49" spans="5:12">
      <c r="E49" s="23"/>
      <c r="F49" s="27"/>
      <c r="G49" s="23"/>
      <c r="H49" s="23"/>
      <c r="J49" s="9"/>
    </row>
    <row r="50" spans="5:12">
      <c r="E50" s="23"/>
      <c r="F50" s="152" t="s">
        <v>13</v>
      </c>
      <c r="G50" s="152"/>
      <c r="H50" s="152"/>
      <c r="I50" s="12"/>
      <c r="J50" s="12"/>
      <c r="K50" s="12"/>
      <c r="L50" s="12"/>
    </row>
    <row r="51" spans="5:12">
      <c r="E51" s="23"/>
      <c r="F51" s="152" t="s">
        <v>14</v>
      </c>
      <c r="G51" s="152"/>
      <c r="H51" s="152"/>
      <c r="I51" s="154"/>
      <c r="J51" s="154"/>
      <c r="K51" s="154"/>
      <c r="L51" s="6"/>
    </row>
    <row r="52" spans="5:12">
      <c r="E52" s="23"/>
      <c r="F52" s="28"/>
      <c r="G52" s="28"/>
      <c r="H52" s="28"/>
      <c r="I52" s="6"/>
      <c r="J52" s="6"/>
      <c r="K52" s="6"/>
      <c r="L52" s="6"/>
    </row>
    <row r="53" spans="5:12">
      <c r="E53" s="23"/>
      <c r="F53" s="28"/>
      <c r="G53" s="28"/>
      <c r="H53" s="28"/>
      <c r="I53" s="6"/>
      <c r="J53" s="6"/>
      <c r="K53" s="6"/>
      <c r="L53" s="6"/>
    </row>
    <row r="54" spans="5:12">
      <c r="E54" s="23"/>
      <c r="F54" s="28"/>
      <c r="G54" s="28"/>
      <c r="H54" s="28"/>
      <c r="I54" s="6"/>
      <c r="J54" s="6"/>
      <c r="K54" s="6"/>
      <c r="L54" s="6"/>
    </row>
    <row r="55" spans="5:12">
      <c r="E55" s="23"/>
      <c r="F55" s="28"/>
      <c r="G55" s="28"/>
      <c r="H55" s="28"/>
      <c r="I55" s="6"/>
      <c r="J55" s="6"/>
      <c r="K55" s="6"/>
      <c r="L55" s="6"/>
    </row>
    <row r="56" spans="5:12">
      <c r="E56" s="23"/>
      <c r="F56" s="28"/>
      <c r="G56" s="28"/>
      <c r="H56" s="28"/>
      <c r="I56" s="6"/>
      <c r="J56" s="6"/>
      <c r="K56" s="6"/>
      <c r="L56" s="6"/>
    </row>
    <row r="57" spans="5:12">
      <c r="E57" s="23"/>
      <c r="F57" s="30" t="e">
        <f>F8</f>
        <v>#N/A</v>
      </c>
      <c r="G57" s="34"/>
      <c r="H57" s="31"/>
      <c r="I57" s="6"/>
      <c r="J57" s="6"/>
      <c r="K57" s="6"/>
      <c r="L57" s="6"/>
    </row>
    <row r="58" spans="5:12">
      <c r="H58" s="35">
        <f>F9</f>
        <v>0</v>
      </c>
    </row>
    <row r="59" spans="5:12" ht="53.25" customHeight="1">
      <c r="G59" s="139" t="s">
        <v>22</v>
      </c>
      <c r="H59" s="139"/>
    </row>
    <row r="60" spans="5:12">
      <c r="G60" s="29"/>
    </row>
    <row r="61" spans="5:12" ht="61.5" customHeight="1">
      <c r="G61" s="139" t="s">
        <v>23</v>
      </c>
      <c r="H61" s="139"/>
    </row>
    <row r="63" spans="5:12" ht="51.75" customHeight="1">
      <c r="F63" s="19" t="s">
        <v>24</v>
      </c>
      <c r="G63" s="139" t="s">
        <v>25</v>
      </c>
      <c r="H63" s="139"/>
    </row>
    <row r="65" spans="6:8" ht="15.75">
      <c r="F65" s="19" t="s">
        <v>26</v>
      </c>
      <c r="G65" s="139" t="s">
        <v>27</v>
      </c>
      <c r="H65" s="139"/>
    </row>
    <row r="67" spans="6:8" ht="16.5" customHeight="1">
      <c r="F67" s="19" t="s">
        <v>28</v>
      </c>
      <c r="G67" s="139" t="s">
        <v>29</v>
      </c>
      <c r="H67" s="139"/>
    </row>
    <row r="69" spans="6:8">
      <c r="G69" s="139" t="s">
        <v>30</v>
      </c>
      <c r="H69" s="139"/>
    </row>
    <row r="71" spans="6:8" ht="94.5" customHeight="1">
      <c r="G71" s="139" t="s">
        <v>31</v>
      </c>
      <c r="H71" s="139"/>
    </row>
    <row r="73" spans="6:8" ht="15.75">
      <c r="F73" s="32" t="s">
        <v>32</v>
      </c>
      <c r="G73" s="7"/>
      <c r="H73" s="33" t="s">
        <v>36</v>
      </c>
    </row>
    <row r="74" spans="6:8" ht="15.75">
      <c r="F74" s="7"/>
      <c r="G74" s="7"/>
      <c r="H74" s="7"/>
    </row>
    <row r="75" spans="6:8" ht="15.75">
      <c r="F75" s="32" t="s">
        <v>33</v>
      </c>
      <c r="G75" s="7"/>
      <c r="H75" s="33" t="s">
        <v>35</v>
      </c>
    </row>
    <row r="76" spans="6:8" ht="15.75">
      <c r="F76" s="7"/>
      <c r="G76" s="7"/>
      <c r="H76" s="7"/>
    </row>
    <row r="77" spans="6:8" ht="15.75">
      <c r="F77" s="7"/>
      <c r="G77" s="7"/>
      <c r="H77" s="7"/>
    </row>
    <row r="78" spans="6:8" ht="15.75">
      <c r="F78" s="32" t="s">
        <v>34</v>
      </c>
      <c r="G78" s="7"/>
      <c r="H78" s="33" t="s">
        <v>34</v>
      </c>
    </row>
    <row r="79" spans="6:8" ht="15.75">
      <c r="F79" s="7"/>
      <c r="G79" s="7"/>
      <c r="H79" s="7"/>
    </row>
  </sheetData>
  <mergeCells count="23">
    <mergeCell ref="G71:H71"/>
    <mergeCell ref="G69:H69"/>
    <mergeCell ref="E6:R6"/>
    <mergeCell ref="H23:R23"/>
    <mergeCell ref="F9:H9"/>
    <mergeCell ref="G59:H59"/>
    <mergeCell ref="G61:H61"/>
    <mergeCell ref="F50:H50"/>
    <mergeCell ref="F51:H51"/>
    <mergeCell ref="G21:H21"/>
    <mergeCell ref="G29:H29"/>
    <mergeCell ref="G30:H30"/>
    <mergeCell ref="G32:H32"/>
    <mergeCell ref="G34:H34"/>
    <mergeCell ref="I51:K51"/>
    <mergeCell ref="G36:H36"/>
    <mergeCell ref="F12:K17"/>
    <mergeCell ref="G41:H41"/>
    <mergeCell ref="G63:H63"/>
    <mergeCell ref="G65:H65"/>
    <mergeCell ref="G67:H67"/>
    <mergeCell ref="G38:H38"/>
    <mergeCell ref="G40:H40"/>
  </mergeCells>
  <pageMargins left="0.7" right="0.7" top="0.75" bottom="0.75" header="0.3" footer="0.3"/>
  <pageSetup scale="3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EC77A-09A5-498F-93BF-5828A844203D}">
  <sheetPr>
    <pageSetUpPr fitToPage="1"/>
  </sheetPr>
  <dimension ref="A1:T98"/>
  <sheetViews>
    <sheetView view="pageBreakPreview" topLeftCell="A10" zoomScale="85" zoomScaleNormal="100" zoomScaleSheetLayoutView="85" workbookViewId="0">
      <selection activeCell="E26" sqref="E26:O26"/>
    </sheetView>
  </sheetViews>
  <sheetFormatPr defaultColWidth="9.140625" defaultRowHeight="14.25"/>
  <cols>
    <col min="1" max="3" width="9.140625" style="47"/>
    <col min="4" max="4" width="4.28515625" style="47" customWidth="1"/>
    <col min="5" max="5" width="5.28515625" style="47" customWidth="1"/>
    <col min="6" max="6" width="15.85546875" style="47" customWidth="1"/>
    <col min="7" max="7" width="10.28515625" style="47" customWidth="1"/>
    <col min="8" max="9" width="9.140625" style="47"/>
    <col min="10" max="10" width="9.42578125" style="47" bestFit="1" customWidth="1"/>
    <col min="11" max="11" width="10.7109375" style="47" customWidth="1"/>
    <col min="12" max="14" width="9.140625" style="47"/>
    <col min="15" max="15" width="39.28515625" style="47" customWidth="1"/>
    <col min="16" max="16384" width="9.140625" style="47"/>
  </cols>
  <sheetData>
    <row r="1" spans="1:15" ht="27.6" customHeight="1" thickBot="1">
      <c r="A1" s="82" t="s">
        <v>223</v>
      </c>
    </row>
    <row r="2" spans="1:15" ht="18" customHeight="1"/>
    <row r="3" spans="1:15" ht="18" customHeight="1"/>
    <row r="4" spans="1:15" ht="18" customHeight="1"/>
    <row r="6" spans="1:15" ht="18">
      <c r="D6" s="136" t="s">
        <v>0</v>
      </c>
      <c r="E6" s="136"/>
      <c r="F6" s="136"/>
      <c r="G6" s="136"/>
      <c r="H6" s="136"/>
      <c r="I6" s="136"/>
      <c r="J6" s="136"/>
      <c r="K6" s="136"/>
      <c r="L6" s="136"/>
      <c r="M6" s="136"/>
      <c r="N6" s="136"/>
      <c r="O6" s="136"/>
    </row>
    <row r="8" spans="1:15" ht="15.75">
      <c r="D8" s="137" t="str">
        <f>_xlfn.XLOOKUP(A1,'Contract Data'!C:C,'Contract Data'!I:I)</f>
        <v>S/AGFZE/AL/PO/002/2026-27</v>
      </c>
      <c r="E8" s="137"/>
      <c r="F8" s="137"/>
      <c r="G8" s="137"/>
      <c r="H8" s="137"/>
      <c r="O8" s="85" t="str">
        <f>"DATE: "&amp;TEXT(_xlfn.XLOOKUP(A1,'Contract Data'!C:C,'Contract Data'!D:D),"dd/mm/yyyy")</f>
        <v>DATE: 08/04/2026</v>
      </c>
    </row>
    <row r="10" spans="1:15" ht="15.75">
      <c r="D10" s="59" t="str">
        <f>_xlfn.XLOOKUP(A1,'Contract Data'!C:C,'Contract Data'!H:H)</f>
        <v>PARAS OVERSEAS</v>
      </c>
      <c r="E10" s="59"/>
      <c r="F10" s="59"/>
      <c r="G10" s="59"/>
      <c r="H10" s="59"/>
      <c r="I10" s="60"/>
    </row>
    <row r="11" spans="1:15" ht="53.25" customHeight="1">
      <c r="D11" s="135" t="str">
        <f>_xlfn.XLOOKUP(A1,'Contract Data'!C:C,'Contract Data'!J:J)&amp;_xlfn.XLOOKUP(A1,'Contract Data'!C:C,'Contract Data'!K:K)</f>
        <v>1008, 10TH FLOOR, SUKHSAGAR COMPLEX, FORTUNE LANDMARK HOTEL, USMANPURA-380013, AHMEDABAD, INDIA</v>
      </c>
      <c r="E11" s="135"/>
      <c r="F11" s="135"/>
      <c r="G11" s="135"/>
      <c r="H11" s="135"/>
      <c r="I11" s="135"/>
      <c r="J11" s="135"/>
      <c r="K11" s="135"/>
      <c r="L11" s="135"/>
    </row>
    <row r="12" spans="1:15" ht="53.25" customHeight="1">
      <c r="D12" s="135" t="str">
        <f>_xlfn.XLOOKUP(A1,'Contract Data'!C:C,'Contract Data'!M:M)&amp;", "&amp;_xlfn.XLOOKUP(A1,'Contract Data'!C:C,'Contract Data'!N:N)&amp;", "&amp;_xlfn.XLOOKUP(A1,'Contract Data'!C:C,'Contract Data'!O:O)&amp;", "&amp;_xlfn.XLOOKUP(A1,'Contract Data'!C:C,'Contract Data'!R:R)&amp;", "&amp;_xlfn.XLOOKUP(A1,'Contract Data'!C:C,'Contract Data'!Q:Q)</f>
        <v>IEC: 0814022944, PAN: AAQFP6007J, GST: 24AAQFP6007J1Z1, EMAIL: JAINAM@PARASGROUPS.IN, TEL: +91-9978050608</v>
      </c>
      <c r="E12" s="135"/>
      <c r="F12" s="135"/>
      <c r="G12" s="135"/>
      <c r="H12" s="135"/>
      <c r="I12" s="135"/>
      <c r="J12" s="135"/>
      <c r="K12" s="135"/>
      <c r="L12" s="135"/>
    </row>
    <row r="13" spans="1:15" ht="15.75">
      <c r="D13" s="138" t="s">
        <v>2</v>
      </c>
      <c r="E13" s="138"/>
      <c r="F13" s="138"/>
      <c r="G13" s="138"/>
      <c r="H13" s="138"/>
      <c r="I13" s="138"/>
      <c r="J13" s="138"/>
      <c r="K13" s="138"/>
      <c r="L13" s="138"/>
      <c r="M13" s="138"/>
    </row>
    <row r="15" spans="1:15" ht="15.75">
      <c r="D15" s="61" t="s">
        <v>5</v>
      </c>
      <c r="E15" s="62" t="s">
        <v>4</v>
      </c>
      <c r="F15" s="60"/>
      <c r="G15" s="60"/>
      <c r="H15" s="60"/>
      <c r="I15" s="60"/>
      <c r="J15" s="60"/>
      <c r="K15" s="60"/>
      <c r="L15" s="60"/>
      <c r="M15" s="60"/>
      <c r="N15" s="60"/>
      <c r="O15" s="60"/>
    </row>
    <row r="16" spans="1:15" ht="15.75">
      <c r="D16" s="59"/>
      <c r="E16" s="61" t="s">
        <v>83</v>
      </c>
      <c r="F16" s="59" t="str">
        <f>_xlfn.XLOOKUP(A1,'Contract Data'!C:C,'Contract Data'!S:S)&amp;" (HS CODE: "&amp;_xlfn.XLOOKUP(A1,'Contract Data'!C:C,'Contract Data'!T:T)&amp;" )"</f>
        <v>ALUMINIUM SCRAP TALLY AS PER ISRI (HS CODE: HS CODE: 76020010 )</v>
      </c>
      <c r="G16" s="60"/>
      <c r="H16" s="60"/>
      <c r="I16" s="60"/>
      <c r="J16" s="60"/>
      <c r="K16" s="60"/>
      <c r="L16" s="60"/>
      <c r="M16" s="60"/>
      <c r="N16" s="60"/>
      <c r="O16" s="60"/>
    </row>
    <row r="17" spans="4:20" ht="52.5" customHeight="1">
      <c r="D17" s="59"/>
      <c r="E17" s="63" t="s">
        <v>74</v>
      </c>
      <c r="F17" s="139" t="s">
        <v>115</v>
      </c>
      <c r="G17" s="140"/>
      <c r="H17" s="140"/>
      <c r="I17" s="140"/>
      <c r="J17" s="140"/>
      <c r="K17" s="140"/>
      <c r="L17" s="140"/>
      <c r="M17" s="140"/>
      <c r="N17" s="140"/>
      <c r="O17" s="140"/>
      <c r="P17" s="54"/>
    </row>
    <row r="18" spans="4:20" ht="15.75">
      <c r="D18" s="59"/>
      <c r="E18" s="61" t="s">
        <v>76</v>
      </c>
      <c r="F18" s="60" t="s">
        <v>121</v>
      </c>
      <c r="G18" s="64"/>
      <c r="H18" s="59" t="str">
        <f>_xlfn.XLOOKUP(A1,'Contract Data'!C:C,'Contract Data'!U:U)</f>
        <v>DAMMAM VIA JEDDAH, SAUDI ARABIA</v>
      </c>
      <c r="I18" s="60"/>
      <c r="J18" s="60"/>
      <c r="K18" s="60"/>
      <c r="L18" s="60"/>
      <c r="M18" s="60"/>
      <c r="N18" s="60"/>
      <c r="O18" s="60"/>
    </row>
    <row r="19" spans="4:20" ht="15.75">
      <c r="D19" s="59"/>
      <c r="E19" s="61" t="s">
        <v>77</v>
      </c>
      <c r="F19" s="65" t="s">
        <v>122</v>
      </c>
      <c r="G19" s="64"/>
      <c r="H19" s="59" t="str">
        <f>"ANY PORT (S) IN "&amp;_xlfn.XLOOKUP(A1,'Contract Data'!C:C,'Contract Data'!V:V)</f>
        <v>ANY PORT (S) IN SAUDI ARABIA</v>
      </c>
      <c r="I19" s="60"/>
      <c r="J19" s="60"/>
      <c r="K19" s="60"/>
      <c r="L19" s="60"/>
      <c r="M19" s="60"/>
      <c r="N19" s="60"/>
      <c r="O19" s="60"/>
    </row>
    <row r="20" spans="4:20" ht="35.25" customHeight="1">
      <c r="D20" s="59"/>
      <c r="E20" s="63" t="s">
        <v>78</v>
      </c>
      <c r="F20" s="44" t="s">
        <v>123</v>
      </c>
      <c r="G20" s="64"/>
      <c r="H20" s="135" t="str">
        <f>_xlfn.XLOOKUP(A1,'Contract Data'!C:C,'Contract Data'!Z:Z)&amp;", "&amp;_xlfn.XLOOKUP(A1,'Contract Data'!C:C,'Contract Data'!W:W)&amp;", "&amp;_xlfn.XLOOKUP(A1,'Contract Data'!C:C,'Contract Data'!X:X)&amp;", "&amp;_xlfn.XLOOKUP(A1,'Contract Data'!C:C,'Contract Data'!L:L)&amp;", "&amp;_xlfn.XLOOKUP(A1,'Contract Data'!C:C,'Contract Data'!Y:Y)</f>
        <v>CIF, MUNDRA, ICD AHMEDABAD, INDIA, (INLAND HAULAGE CHARGES ON BUYER’S ACCOUNT)</v>
      </c>
      <c r="I20" s="135"/>
      <c r="J20" s="135"/>
      <c r="K20" s="135"/>
      <c r="L20" s="135"/>
      <c r="M20" s="135"/>
      <c r="N20" s="135"/>
      <c r="O20" s="135"/>
      <c r="P20" s="55"/>
      <c r="Q20" s="55"/>
      <c r="R20" s="55"/>
    </row>
    <row r="21" spans="4:20" ht="32.25" customHeight="1">
      <c r="D21" s="59"/>
      <c r="E21" s="63" t="s">
        <v>79</v>
      </c>
      <c r="F21" s="141" t="s">
        <v>80</v>
      </c>
      <c r="G21" s="141"/>
      <c r="H21" s="135" t="str">
        <f>_xlfn.XLOOKUP(A1,'Contract Data'!C:C,'Contract Data'!AA:AA)&amp;" MT "&amp;_xlfn.XLOOKUP(A1,'Contract Data'!C:C,'Contract Data'!AB:AB)&amp;" (SELLER’S OPTION) IN "&amp;_xlfn.XLOOKUP(A1,'Contract Data'!C:C,'Contract Data'!AC:AC)&amp;" IN "&amp;_xlfn.XLOOKUP(A1,'Contract Data'!C:C,'Contract Data'!AD:AD)&amp;" X "&amp;_xlfn.XLOOKUP(A1,'Contract Data'!C:C,'Contract Data'!AE:AE)&amp;" CONTAINER/S"</f>
        <v>21 MT +/-10% (SELLER’S OPTION) IN  BRIQUETTED IN 1 X 20 CONTAINER/S</v>
      </c>
      <c r="I21" s="135"/>
      <c r="J21" s="135"/>
      <c r="K21" s="135"/>
      <c r="L21" s="135"/>
      <c r="M21" s="135"/>
      <c r="N21" s="135"/>
      <c r="O21" s="135"/>
    </row>
    <row r="22" spans="4:20" ht="15.75">
      <c r="D22" s="59"/>
      <c r="E22" s="61"/>
      <c r="F22" s="66"/>
      <c r="G22" s="64"/>
      <c r="H22" s="58"/>
      <c r="I22" s="60"/>
      <c r="J22" s="60"/>
      <c r="K22" s="60"/>
      <c r="L22" s="60"/>
      <c r="M22" s="60"/>
      <c r="N22" s="60"/>
      <c r="O22" s="60"/>
    </row>
    <row r="23" spans="4:20" ht="35.25" customHeight="1">
      <c r="D23" s="63" t="s">
        <v>6</v>
      </c>
      <c r="E23" s="80" t="s">
        <v>110</v>
      </c>
      <c r="F23" s="60"/>
      <c r="G23" s="60"/>
      <c r="H23" s="135" t="str">
        <f>_xlfn.XLOOKUP(A1,'Contract Data'!C:C,'Contract Data'!AF:AF)&amp;" AGAINST FOLLOWING DOCUMENTS"</f>
        <v>100% CAD THROUGH BANK AGAINST FOLLOWING DOCUMENTS</v>
      </c>
      <c r="I23" s="135"/>
      <c r="J23" s="135"/>
      <c r="K23" s="135"/>
      <c r="L23" s="135"/>
      <c r="M23" s="135"/>
      <c r="N23" s="135"/>
      <c r="O23" s="135"/>
    </row>
    <row r="24" spans="4:20" ht="50.25" customHeight="1">
      <c r="D24" s="59"/>
      <c r="E24" s="139" t="str">
        <f>_xlfn.XLOOKUP(A1,'Contract Data'!C:C,'Contract Data'!AG:AG)</f>
        <v>1) FULL SET (3/3) ORIGINAL BILL OF LADING B/L TO SHOW “FREIGHT PREPAID” 2) COMMERCIAL INVOICE 3) PACKING LIST 4) CERTIFICATE OF ORIGIN 5) INSURANCE CERTIFICATE 6) FREIGHT CERTIFICATE 7) FORM 6 &amp; FORM 9 8) CHEMICAL ANALYSIS CERTIFICATE 9) PSIC CERTIFICATE 10) NO WAR CERTIFICATE.</v>
      </c>
      <c r="F24" s="139"/>
      <c r="G24" s="139"/>
      <c r="H24" s="139"/>
      <c r="I24" s="139"/>
      <c r="J24" s="139"/>
      <c r="K24" s="139"/>
      <c r="L24" s="139"/>
      <c r="M24" s="139"/>
      <c r="N24" s="139"/>
      <c r="O24" s="139"/>
      <c r="P24" s="50"/>
    </row>
    <row r="25" spans="4:20" ht="15.75">
      <c r="D25" s="59"/>
      <c r="E25" s="61"/>
      <c r="F25" s="66"/>
      <c r="G25" s="64"/>
      <c r="H25" s="58"/>
      <c r="I25" s="60"/>
      <c r="J25" s="60"/>
      <c r="K25" s="60"/>
      <c r="L25" s="60"/>
      <c r="M25" s="60"/>
      <c r="N25" s="60"/>
      <c r="O25" s="60"/>
    </row>
    <row r="26" spans="4:20" ht="60" customHeight="1">
      <c r="D26" s="63" t="s">
        <v>7</v>
      </c>
      <c r="E26" s="135" t="str">
        <f>"PRICE: "&amp;_xlfn.XLOOKUP('INDIA (QP)'!A1,'Contract Data'!C:C,'Contract Data'!AH:AH)&amp;", TO BE FIXED BY BUYER, EITHER ON OFFICIAL SETTLEMENT OR ON RUNNING SCREEN OR GTC WITHIN SPECIFIED Q/P X "&amp;_xlfn.XLOOKUP(A1,'Contract Data'!C:C,'Contract Data'!AI:AI)&amp;" %"&amp;" "&amp;_xlfn.XLOOKUP(A1,'Contract Data'!C:C,'Contract Data'!Z:Z)&amp;" "&amp;_xlfn.XLOOKUP(A1,'Contract Data'!C:C,'Contract Data'!W:W)&amp;", "&amp;_xlfn.XLOOKUP(A1,'Contract Data'!C:C,'Contract Data'!X:X)&amp;", "&amp;_xlfn.XLOOKUP(A1,'Contract Data'!C:C,'Contract Data'!L:L)</f>
        <v>PRICE: , TO BE FIXED BY BUYER, EITHER ON OFFICIAL SETTLEMENT OR ON RUNNING SCREEN OR GTC WITHIN SPECIFIED Q/P X 0 % CIF MUNDRA, ICD AHMEDABAD, INDIA</v>
      </c>
      <c r="F26" s="135"/>
      <c r="G26" s="135"/>
      <c r="H26" s="135"/>
      <c r="I26" s="135"/>
      <c r="J26" s="135"/>
      <c r="K26" s="135"/>
      <c r="L26" s="135"/>
      <c r="M26" s="135"/>
      <c r="N26" s="135"/>
      <c r="O26" s="135"/>
      <c r="P26" s="49"/>
      <c r="Q26" s="49"/>
      <c r="R26" s="49"/>
      <c r="S26" s="49"/>
      <c r="T26" s="49"/>
    </row>
    <row r="27" spans="4:20" ht="15.75">
      <c r="D27" s="59"/>
      <c r="E27" s="61"/>
      <c r="F27" s="66"/>
      <c r="G27" s="64"/>
      <c r="H27" s="58"/>
      <c r="I27" s="60"/>
      <c r="J27" s="60"/>
      <c r="K27" s="60"/>
      <c r="L27" s="60"/>
      <c r="M27" s="60"/>
      <c r="N27" s="60"/>
      <c r="O27" s="60"/>
    </row>
    <row r="28" spans="4:20" ht="15.75">
      <c r="D28" s="61" t="s">
        <v>8</v>
      </c>
      <c r="E28" s="156" t="s">
        <v>104</v>
      </c>
      <c r="F28" s="156"/>
      <c r="G28" s="156"/>
      <c r="H28" s="156"/>
      <c r="I28" s="156"/>
      <c r="J28" s="156"/>
      <c r="K28" s="156"/>
      <c r="L28" s="156"/>
      <c r="M28" s="156"/>
      <c r="N28" s="156"/>
      <c r="O28" s="156"/>
    </row>
    <row r="29" spans="4:20" ht="15.75">
      <c r="D29" s="61"/>
      <c r="E29" s="67"/>
      <c r="F29" s="67"/>
      <c r="G29" s="67"/>
      <c r="H29" s="67"/>
      <c r="I29" s="67"/>
      <c r="J29" s="67"/>
      <c r="K29" s="67"/>
      <c r="L29" s="67"/>
      <c r="M29" s="67"/>
      <c r="N29" s="67"/>
      <c r="O29" s="67"/>
    </row>
    <row r="30" spans="4:20" ht="52.5" customHeight="1">
      <c r="D30" s="63" t="s">
        <v>9</v>
      </c>
      <c r="E30" s="140" t="s">
        <v>105</v>
      </c>
      <c r="F30" s="140"/>
      <c r="G30" s="140"/>
      <c r="H30" s="140"/>
      <c r="I30" s="140"/>
      <c r="J30" s="140"/>
      <c r="K30" s="140"/>
      <c r="L30" s="140"/>
      <c r="M30" s="140"/>
      <c r="N30" s="140"/>
      <c r="O30" s="140"/>
    </row>
    <row r="31" spans="4:20" ht="15.75">
      <c r="D31" s="61"/>
      <c r="E31" s="67"/>
      <c r="F31" s="67"/>
      <c r="G31" s="67"/>
      <c r="H31" s="67"/>
      <c r="I31" s="67"/>
      <c r="J31" s="67"/>
      <c r="K31" s="67"/>
      <c r="L31" s="67"/>
      <c r="M31" s="67"/>
      <c r="N31" s="67"/>
      <c r="O31" s="67"/>
    </row>
    <row r="32" spans="4:20" ht="69" customHeight="1">
      <c r="D32" s="63" t="s">
        <v>10</v>
      </c>
      <c r="E32" s="140" t="s">
        <v>19</v>
      </c>
      <c r="F32" s="140"/>
      <c r="G32" s="140"/>
      <c r="H32" s="140"/>
      <c r="I32" s="140"/>
      <c r="J32" s="140"/>
      <c r="K32" s="140"/>
      <c r="L32" s="140"/>
      <c r="M32" s="140"/>
      <c r="N32" s="140"/>
      <c r="O32" s="140"/>
    </row>
    <row r="33" spans="4:15" ht="89.25" customHeight="1">
      <c r="D33" s="63" t="s">
        <v>11</v>
      </c>
      <c r="E33" s="140" t="s">
        <v>106</v>
      </c>
      <c r="F33" s="140"/>
      <c r="G33" s="140"/>
      <c r="H33" s="140"/>
      <c r="I33" s="140"/>
      <c r="J33" s="140"/>
      <c r="K33" s="140"/>
      <c r="L33" s="140"/>
      <c r="M33" s="140"/>
      <c r="N33" s="140"/>
      <c r="O33" s="140"/>
    </row>
    <row r="34" spans="4:15" ht="117" customHeight="1">
      <c r="D34" s="63" t="s">
        <v>24</v>
      </c>
      <c r="E34" s="140" t="s">
        <v>21</v>
      </c>
      <c r="F34" s="140"/>
      <c r="G34" s="140"/>
      <c r="H34" s="140"/>
      <c r="I34" s="140"/>
      <c r="J34" s="140"/>
      <c r="K34" s="140"/>
      <c r="L34" s="140"/>
      <c r="M34" s="140"/>
      <c r="N34" s="140"/>
      <c r="O34" s="140"/>
    </row>
    <row r="36" spans="4:15" ht="15">
      <c r="D36" s="48"/>
    </row>
    <row r="37" spans="4:15" ht="15.75">
      <c r="D37" s="70" t="s">
        <v>12</v>
      </c>
      <c r="E37" s="60"/>
      <c r="F37" s="60"/>
      <c r="G37" s="60"/>
      <c r="H37" s="71"/>
      <c r="I37" s="71"/>
      <c r="J37" s="60"/>
      <c r="K37" s="60"/>
      <c r="L37" s="60"/>
      <c r="M37" s="60"/>
      <c r="N37" s="60"/>
      <c r="O37" s="60"/>
    </row>
    <row r="38" spans="4:15" ht="15.75">
      <c r="D38" s="41" t="s">
        <v>96</v>
      </c>
      <c r="E38" s="41"/>
      <c r="F38" s="60"/>
      <c r="G38" s="41" t="s">
        <v>86</v>
      </c>
      <c r="H38" s="71"/>
      <c r="I38" s="71"/>
      <c r="J38" s="60"/>
      <c r="K38" s="60"/>
      <c r="L38" s="60"/>
      <c r="M38" s="60"/>
      <c r="N38" s="60"/>
      <c r="O38" s="60"/>
    </row>
    <row r="39" spans="4:15" ht="15.75">
      <c r="D39" s="41" t="s">
        <v>97</v>
      </c>
      <c r="E39" s="41"/>
      <c r="F39" s="60"/>
      <c r="G39" s="41" t="s">
        <v>98</v>
      </c>
      <c r="H39" s="71"/>
      <c r="I39" s="71"/>
      <c r="J39" s="60"/>
      <c r="K39" s="60"/>
      <c r="L39" s="60"/>
      <c r="M39" s="60"/>
      <c r="N39" s="60"/>
      <c r="O39" s="60"/>
    </row>
    <row r="40" spans="4:15" ht="15.75">
      <c r="D40" s="41" t="s">
        <v>99</v>
      </c>
      <c r="E40" s="41"/>
      <c r="F40" s="60"/>
      <c r="G40" s="41" t="s">
        <v>100</v>
      </c>
      <c r="H40" s="71"/>
      <c r="I40" s="60"/>
      <c r="J40" s="60"/>
      <c r="K40" s="60"/>
      <c r="L40" s="60"/>
      <c r="M40" s="60"/>
      <c r="N40" s="60"/>
      <c r="O40" s="60"/>
    </row>
    <row r="41" spans="4:15" ht="15.75">
      <c r="D41" s="41" t="s">
        <v>85</v>
      </c>
      <c r="E41" s="41"/>
      <c r="F41" s="60"/>
      <c r="G41" s="41" t="s">
        <v>101</v>
      </c>
      <c r="H41" s="72"/>
      <c r="I41" s="60"/>
      <c r="J41" s="60"/>
      <c r="K41" s="60"/>
      <c r="L41" s="60"/>
      <c r="M41" s="60"/>
      <c r="N41" s="60"/>
      <c r="O41" s="60"/>
    </row>
    <row r="42" spans="4:15" ht="15">
      <c r="D42" s="71"/>
      <c r="E42" s="60"/>
      <c r="F42" s="60"/>
      <c r="G42" s="60"/>
      <c r="H42" s="72"/>
      <c r="I42" s="60"/>
      <c r="J42" s="60"/>
      <c r="K42" s="60"/>
      <c r="L42" s="60"/>
      <c r="M42" s="60"/>
      <c r="N42" s="60"/>
      <c r="O42" s="60"/>
    </row>
    <row r="43" spans="4:15" ht="15.75">
      <c r="D43" s="142" t="s">
        <v>13</v>
      </c>
      <c r="E43" s="142"/>
      <c r="F43" s="142"/>
      <c r="G43" s="142"/>
      <c r="H43" s="142"/>
      <c r="I43" s="142"/>
      <c r="J43" s="142"/>
      <c r="K43" s="142"/>
      <c r="L43" s="142"/>
      <c r="M43" s="142"/>
      <c r="N43" s="142"/>
      <c r="O43" s="142"/>
    </row>
    <row r="44" spans="4:15" ht="15.75">
      <c r="D44" s="142" t="s">
        <v>14</v>
      </c>
      <c r="E44" s="142"/>
      <c r="F44" s="142"/>
      <c r="G44" s="142"/>
      <c r="H44" s="142"/>
      <c r="I44" s="142"/>
      <c r="J44" s="142"/>
      <c r="K44" s="142"/>
      <c r="L44" s="142"/>
      <c r="M44" s="142"/>
      <c r="N44" s="142"/>
      <c r="O44" s="142"/>
    </row>
    <row r="45" spans="4:15" ht="15">
      <c r="D45" s="48"/>
    </row>
    <row r="46" spans="4:15" ht="15">
      <c r="D46" s="48"/>
    </row>
    <row r="47" spans="4:15" ht="15">
      <c r="D47" s="48"/>
    </row>
    <row r="48" spans="4:15" ht="15">
      <c r="D48" s="48"/>
    </row>
    <row r="49" spans="4:15" ht="15">
      <c r="D49" s="48"/>
    </row>
    <row r="50" spans="4:15" ht="15">
      <c r="D50" s="48"/>
    </row>
    <row r="51" spans="4:15" ht="15">
      <c r="D51" s="48"/>
    </row>
    <row r="52" spans="4:15" ht="15">
      <c r="D52" s="48"/>
    </row>
    <row r="53" spans="4:15" ht="15.75">
      <c r="D53" s="59" t="str">
        <f>D8</f>
        <v>S/AGFZE/AL/PO/002/2026-27</v>
      </c>
      <c r="E53" s="60"/>
      <c r="F53" s="59"/>
      <c r="G53" s="59"/>
      <c r="H53" s="59"/>
      <c r="I53" s="59"/>
      <c r="J53" s="59"/>
      <c r="K53" s="59"/>
      <c r="L53" s="59"/>
      <c r="M53" s="59"/>
      <c r="N53" s="59"/>
      <c r="O53" s="85" t="str">
        <f>O8</f>
        <v>DATE: 08/04/2026</v>
      </c>
    </row>
    <row r="54" spans="4:15" ht="15.75">
      <c r="D54" s="59"/>
      <c r="E54" s="60"/>
      <c r="F54" s="60"/>
      <c r="G54" s="60"/>
      <c r="H54" s="60"/>
      <c r="I54" s="60"/>
      <c r="J54" s="60"/>
      <c r="K54" s="60"/>
      <c r="L54" s="60"/>
      <c r="M54" s="60"/>
      <c r="N54" s="60"/>
      <c r="O54" s="60"/>
    </row>
    <row r="55" spans="4:15" ht="81.75" customHeight="1">
      <c r="D55" s="59"/>
      <c r="E55" s="139" t="s">
        <v>3</v>
      </c>
      <c r="F55" s="139"/>
      <c r="G55" s="139"/>
      <c r="H55" s="139"/>
      <c r="I55" s="139"/>
      <c r="J55" s="139"/>
      <c r="K55" s="139"/>
      <c r="L55" s="139"/>
      <c r="M55" s="139"/>
      <c r="N55" s="139"/>
      <c r="O55" s="139"/>
    </row>
    <row r="56" spans="4:15" ht="49.5" customHeight="1">
      <c r="D56" s="59"/>
      <c r="E56" s="139" t="s">
        <v>22</v>
      </c>
      <c r="F56" s="139"/>
      <c r="G56" s="139"/>
      <c r="H56" s="139"/>
      <c r="I56" s="139"/>
      <c r="J56" s="139"/>
      <c r="K56" s="139"/>
      <c r="L56" s="139"/>
      <c r="M56" s="139"/>
      <c r="N56" s="139"/>
      <c r="O56" s="139"/>
    </row>
    <row r="57" spans="4:15" ht="51.75" customHeight="1">
      <c r="D57" s="60"/>
      <c r="E57" s="139" t="s">
        <v>75</v>
      </c>
      <c r="F57" s="139"/>
      <c r="G57" s="139"/>
      <c r="H57" s="139"/>
      <c r="I57" s="139"/>
      <c r="J57" s="139"/>
      <c r="K57" s="139"/>
      <c r="L57" s="139"/>
      <c r="M57" s="139"/>
      <c r="N57" s="139"/>
      <c r="O57" s="139"/>
    </row>
    <row r="58" spans="4:15" ht="16.5" customHeight="1">
      <c r="D58" s="60"/>
      <c r="E58" s="36"/>
      <c r="F58" s="36"/>
      <c r="G58" s="36"/>
      <c r="H58" s="36"/>
      <c r="I58" s="36"/>
      <c r="J58" s="36"/>
      <c r="K58" s="36"/>
      <c r="L58" s="36"/>
      <c r="M58" s="36"/>
      <c r="N58" s="36"/>
      <c r="O58" s="36"/>
    </row>
    <row r="59" spans="4:15" ht="51.75" customHeight="1">
      <c r="D59" s="63" t="s">
        <v>26</v>
      </c>
      <c r="E59" s="139" t="s">
        <v>25</v>
      </c>
      <c r="F59" s="139"/>
      <c r="G59" s="139"/>
      <c r="H59" s="139"/>
      <c r="I59" s="139"/>
      <c r="J59" s="139"/>
      <c r="K59" s="139"/>
      <c r="L59" s="139"/>
      <c r="M59" s="139"/>
      <c r="N59" s="139"/>
      <c r="O59" s="139"/>
    </row>
    <row r="60" spans="4:15" ht="16.5" customHeight="1">
      <c r="D60" s="60"/>
      <c r="E60" s="36"/>
      <c r="F60" s="36"/>
      <c r="G60" s="36"/>
      <c r="H60" s="36"/>
      <c r="I60" s="36"/>
      <c r="J60" s="36"/>
      <c r="K60" s="36"/>
      <c r="L60" s="36"/>
      <c r="M60" s="36"/>
      <c r="N60" s="36"/>
      <c r="O60" s="36"/>
    </row>
    <row r="61" spans="4:15" ht="15" customHeight="1">
      <c r="D61" s="63" t="s">
        <v>28</v>
      </c>
      <c r="E61" s="139" t="s">
        <v>27</v>
      </c>
      <c r="F61" s="139"/>
      <c r="G61" s="139"/>
      <c r="H61" s="139"/>
      <c r="I61" s="139"/>
      <c r="J61" s="139"/>
      <c r="K61" s="139"/>
      <c r="L61" s="139"/>
      <c r="M61" s="139"/>
      <c r="N61" s="139"/>
      <c r="O61" s="139"/>
    </row>
    <row r="62" spans="4:15" ht="16.5" customHeight="1">
      <c r="D62" s="60"/>
      <c r="E62" s="36"/>
      <c r="F62" s="36"/>
      <c r="G62" s="36"/>
      <c r="H62" s="36"/>
      <c r="I62" s="36"/>
      <c r="J62" s="36"/>
      <c r="K62" s="36"/>
      <c r="L62" s="36"/>
      <c r="M62" s="36"/>
      <c r="N62" s="36"/>
      <c r="O62" s="36"/>
    </row>
    <row r="63" spans="4:15" ht="15" customHeight="1">
      <c r="D63" s="63" t="s">
        <v>89</v>
      </c>
      <c r="E63" s="139" t="str">
        <f>"WEIGHT SHORTAGE WILL NOT BE ACCEPTED LESS THAN "&amp;_xlfn.XLOOKUP(A1,'Contract Data'!C:C,'Contract Data'!AK:AK)&amp;", MORE THAN "&amp;_xlfn.XLOOKUP(A1,'Contract Data'!C:C,'Contract Data'!AK:AK)&amp;" WILL BE CLAIMED"</f>
        <v>WEIGHT SHORTAGE WILL NOT BE ACCEPTED LESS THAN 0.50%, MORE THAN 0.50% WILL BE CLAIMED</v>
      </c>
      <c r="F63" s="139"/>
      <c r="G63" s="139"/>
      <c r="H63" s="139"/>
      <c r="I63" s="139"/>
      <c r="J63" s="139"/>
      <c r="K63" s="139"/>
      <c r="L63" s="139"/>
      <c r="M63" s="139"/>
      <c r="N63" s="139"/>
      <c r="O63" s="139"/>
    </row>
    <row r="64" spans="4:15" ht="15" customHeight="1">
      <c r="D64" s="63"/>
      <c r="E64" s="36"/>
      <c r="F64" s="36"/>
      <c r="G64" s="36"/>
      <c r="H64" s="36"/>
      <c r="I64" s="36"/>
      <c r="J64" s="36"/>
      <c r="K64" s="36"/>
      <c r="L64" s="36"/>
      <c r="M64" s="36"/>
      <c r="N64" s="36"/>
      <c r="O64" s="36"/>
    </row>
    <row r="65" spans="4:15" ht="51" customHeight="1">
      <c r="D65" s="63" t="s">
        <v>90</v>
      </c>
      <c r="E65" s="143" t="s">
        <v>30</v>
      </c>
      <c r="F65" s="143"/>
      <c r="G65" s="143"/>
      <c r="H65" s="143"/>
      <c r="I65" s="143"/>
      <c r="J65" s="143"/>
      <c r="K65" s="143"/>
      <c r="L65" s="143"/>
      <c r="M65" s="143"/>
      <c r="N65" s="143"/>
      <c r="O65" s="143"/>
    </row>
    <row r="66" spans="4:15" ht="10.5" customHeight="1">
      <c r="D66" s="60"/>
      <c r="E66" s="36"/>
      <c r="F66" s="36"/>
      <c r="G66" s="36"/>
      <c r="H66" s="36"/>
      <c r="I66" s="36"/>
      <c r="J66" s="36"/>
      <c r="K66" s="36"/>
      <c r="L66" s="36"/>
      <c r="M66" s="36"/>
      <c r="N66" s="36"/>
      <c r="O66" s="36"/>
    </row>
    <row r="67" spans="4:15" ht="99" customHeight="1">
      <c r="D67" s="63" t="s">
        <v>91</v>
      </c>
      <c r="E67" s="139" t="s">
        <v>31</v>
      </c>
      <c r="F67" s="139"/>
      <c r="G67" s="139"/>
      <c r="H67" s="139"/>
      <c r="I67" s="139"/>
      <c r="J67" s="139"/>
      <c r="K67" s="139"/>
      <c r="L67" s="139"/>
      <c r="M67" s="139"/>
      <c r="N67" s="139"/>
      <c r="O67" s="139"/>
    </row>
    <row r="68" spans="4:15" ht="18.75" customHeight="1">
      <c r="D68" s="63"/>
      <c r="E68" s="36"/>
      <c r="F68" s="36"/>
      <c r="G68" s="36"/>
      <c r="H68" s="36"/>
      <c r="I68" s="36"/>
      <c r="J68" s="36"/>
      <c r="K68" s="36"/>
      <c r="L68" s="36"/>
      <c r="M68" s="36"/>
      <c r="N68" s="36"/>
      <c r="O68" s="36"/>
    </row>
    <row r="69" spans="4:15" ht="15">
      <c r="D69" s="60"/>
      <c r="E69" s="68"/>
      <c r="F69" s="60"/>
      <c r="G69" s="60"/>
      <c r="H69" s="60"/>
      <c r="I69" s="60"/>
      <c r="J69" s="60"/>
      <c r="K69" s="60"/>
      <c r="L69" s="60"/>
      <c r="M69" s="60"/>
      <c r="N69" s="60"/>
      <c r="O69" s="60"/>
    </row>
    <row r="70" spans="4:15" ht="15.75">
      <c r="D70" s="32" t="s">
        <v>92</v>
      </c>
      <c r="E70" s="60"/>
      <c r="F70" s="60"/>
      <c r="G70" s="60"/>
      <c r="H70" s="60"/>
      <c r="I70" s="60"/>
      <c r="J70" s="60"/>
      <c r="K70" s="60"/>
      <c r="L70" s="60"/>
      <c r="M70" s="60"/>
      <c r="N70" s="32" t="s">
        <v>94</v>
      </c>
      <c r="O70" s="60"/>
    </row>
    <row r="71" spans="4:15" ht="15">
      <c r="D71" s="69"/>
      <c r="E71" s="60"/>
      <c r="F71" s="60"/>
      <c r="G71" s="60"/>
      <c r="H71" s="60"/>
      <c r="I71" s="60"/>
      <c r="J71" s="60"/>
      <c r="K71" s="60"/>
      <c r="L71" s="60"/>
      <c r="M71" s="60"/>
      <c r="N71" s="60"/>
      <c r="O71" s="60"/>
    </row>
    <row r="72" spans="4:15" ht="30" customHeight="1">
      <c r="D72" s="81" t="s">
        <v>33</v>
      </c>
      <c r="E72" s="60"/>
      <c r="F72" s="60"/>
      <c r="G72" s="60"/>
      <c r="H72" s="60"/>
      <c r="I72" s="60"/>
      <c r="J72" s="60"/>
      <c r="K72" s="60"/>
      <c r="L72" s="60"/>
      <c r="M72" s="60"/>
      <c r="N72" s="155" t="str">
        <f>"FOR "&amp;D10</f>
        <v>FOR PARAS OVERSEAS</v>
      </c>
      <c r="O72" s="155"/>
    </row>
    <row r="73" spans="4:15" ht="15">
      <c r="D73" s="69"/>
      <c r="E73" s="60"/>
      <c r="F73" s="60"/>
      <c r="G73" s="60"/>
      <c r="H73" s="60"/>
      <c r="I73" s="60"/>
      <c r="J73" s="60"/>
      <c r="K73" s="60"/>
      <c r="L73" s="60"/>
      <c r="M73" s="60"/>
      <c r="N73" s="60"/>
      <c r="O73" s="60"/>
    </row>
    <row r="74" spans="4:15" ht="15">
      <c r="D74" s="69"/>
      <c r="E74" s="60"/>
      <c r="F74" s="60"/>
      <c r="G74" s="60"/>
      <c r="H74" s="60"/>
      <c r="I74" s="60"/>
      <c r="J74" s="60"/>
      <c r="K74" s="60"/>
      <c r="L74" s="60"/>
      <c r="M74" s="60"/>
      <c r="N74" s="60"/>
      <c r="O74" s="60"/>
    </row>
    <row r="75" spans="4:15" ht="15">
      <c r="D75" s="69"/>
      <c r="E75" s="60"/>
      <c r="F75" s="60"/>
      <c r="G75" s="60"/>
      <c r="H75" s="60"/>
      <c r="I75" s="60"/>
      <c r="J75" s="60"/>
      <c r="K75" s="60"/>
      <c r="L75" s="60"/>
      <c r="M75" s="60"/>
      <c r="N75" s="60"/>
      <c r="O75" s="60"/>
    </row>
    <row r="76" spans="4:15" ht="15.75">
      <c r="D76" s="32" t="s">
        <v>93</v>
      </c>
      <c r="E76" s="60"/>
      <c r="F76" s="60"/>
      <c r="G76" s="60"/>
      <c r="H76" s="60"/>
      <c r="I76" s="60"/>
      <c r="J76" s="60"/>
      <c r="K76" s="60"/>
      <c r="L76" s="60"/>
      <c r="M76" s="60"/>
      <c r="N76" s="32" t="s">
        <v>95</v>
      </c>
      <c r="O76" s="60"/>
    </row>
    <row r="77" spans="4:15" ht="15">
      <c r="D77" s="60"/>
      <c r="E77" s="60"/>
      <c r="F77" s="60"/>
      <c r="G77" s="60"/>
      <c r="H77" s="60"/>
      <c r="I77" s="60"/>
      <c r="J77" s="60"/>
      <c r="K77" s="60"/>
      <c r="L77" s="60"/>
      <c r="M77" s="60"/>
      <c r="N77" s="60"/>
      <c r="O77" s="60"/>
    </row>
    <row r="90" spans="4:15" ht="15">
      <c r="D90" s="48"/>
    </row>
    <row r="91" spans="4:15" ht="15.75">
      <c r="D91" s="70" t="s">
        <v>12</v>
      </c>
      <c r="E91" s="60"/>
      <c r="F91" s="60"/>
      <c r="G91" s="60"/>
      <c r="H91" s="71"/>
      <c r="I91" s="71"/>
      <c r="J91" s="60"/>
      <c r="K91" s="60"/>
      <c r="L91" s="60"/>
      <c r="M91" s="60"/>
      <c r="N91" s="60"/>
      <c r="O91" s="60"/>
    </row>
    <row r="92" spans="4:15" ht="15.75">
      <c r="D92" s="41" t="s">
        <v>96</v>
      </c>
      <c r="E92" s="41"/>
      <c r="F92" s="60"/>
      <c r="G92" s="41" t="s">
        <v>86</v>
      </c>
      <c r="H92" s="71"/>
      <c r="I92" s="71"/>
      <c r="J92" s="60"/>
      <c r="K92" s="60"/>
      <c r="L92" s="60"/>
      <c r="M92" s="60"/>
      <c r="N92" s="60"/>
      <c r="O92" s="60"/>
    </row>
    <row r="93" spans="4:15" ht="15.75">
      <c r="D93" s="41" t="s">
        <v>97</v>
      </c>
      <c r="E93" s="41"/>
      <c r="F93" s="60"/>
      <c r="G93" s="41" t="s">
        <v>98</v>
      </c>
      <c r="H93" s="71"/>
      <c r="I93" s="71"/>
      <c r="J93" s="60"/>
      <c r="K93" s="60"/>
      <c r="L93" s="60"/>
      <c r="M93" s="60"/>
      <c r="N93" s="60"/>
      <c r="O93" s="60"/>
    </row>
    <row r="94" spans="4:15" ht="15.75">
      <c r="D94" s="41" t="s">
        <v>99</v>
      </c>
      <c r="E94" s="41"/>
      <c r="F94" s="60"/>
      <c r="G94" s="41" t="s">
        <v>100</v>
      </c>
      <c r="H94" s="71"/>
      <c r="I94" s="60"/>
      <c r="J94" s="60"/>
      <c r="K94" s="60"/>
      <c r="L94" s="60"/>
      <c r="M94" s="60"/>
      <c r="N94" s="60"/>
      <c r="O94" s="60"/>
    </row>
    <row r="95" spans="4:15" ht="15.75">
      <c r="D95" s="41" t="s">
        <v>85</v>
      </c>
      <c r="E95" s="41"/>
      <c r="F95" s="60"/>
      <c r="G95" s="41" t="s">
        <v>101</v>
      </c>
      <c r="H95" s="72"/>
      <c r="I95" s="60"/>
      <c r="J95" s="60"/>
      <c r="K95" s="60"/>
      <c r="L95" s="60"/>
      <c r="M95" s="60"/>
      <c r="N95" s="60"/>
      <c r="O95" s="60"/>
    </row>
    <row r="96" spans="4:15" ht="15">
      <c r="D96" s="71"/>
      <c r="E96" s="60"/>
      <c r="F96" s="60"/>
      <c r="G96" s="60"/>
      <c r="H96" s="72"/>
      <c r="I96" s="60"/>
      <c r="J96" s="60"/>
      <c r="K96" s="60"/>
      <c r="L96" s="60"/>
      <c r="M96" s="60"/>
      <c r="N96" s="60"/>
      <c r="O96" s="60"/>
    </row>
    <row r="97" spans="4:15" ht="15.75">
      <c r="D97" s="142" t="s">
        <v>13</v>
      </c>
      <c r="E97" s="142"/>
      <c r="F97" s="142"/>
      <c r="G97" s="142"/>
      <c r="H97" s="142"/>
      <c r="I97" s="142"/>
      <c r="J97" s="142"/>
      <c r="K97" s="142"/>
      <c r="L97" s="142"/>
      <c r="M97" s="142"/>
      <c r="N97" s="142"/>
      <c r="O97" s="142"/>
    </row>
    <row r="98" spans="4:15" ht="15.75">
      <c r="D98" s="142" t="s">
        <v>14</v>
      </c>
      <c r="E98" s="142"/>
      <c r="F98" s="142"/>
      <c r="G98" s="142"/>
      <c r="H98" s="142"/>
      <c r="I98" s="142"/>
      <c r="J98" s="142"/>
      <c r="K98" s="142"/>
      <c r="L98" s="142"/>
      <c r="M98" s="142"/>
      <c r="N98" s="142"/>
      <c r="O98" s="142"/>
    </row>
  </sheetData>
  <mergeCells count="30">
    <mergeCell ref="D6:O6"/>
    <mergeCell ref="E26:O26"/>
    <mergeCell ref="F17:O17"/>
    <mergeCell ref="E24:O24"/>
    <mergeCell ref="D8:H8"/>
    <mergeCell ref="D13:M13"/>
    <mergeCell ref="D11:L11"/>
    <mergeCell ref="D12:L12"/>
    <mergeCell ref="F21:G21"/>
    <mergeCell ref="E55:O55"/>
    <mergeCell ref="E28:O28"/>
    <mergeCell ref="E30:O30"/>
    <mergeCell ref="E32:O32"/>
    <mergeCell ref="E33:O33"/>
    <mergeCell ref="N72:O72"/>
    <mergeCell ref="D97:O97"/>
    <mergeCell ref="D98:O98"/>
    <mergeCell ref="H23:O23"/>
    <mergeCell ref="H20:O20"/>
    <mergeCell ref="E65:O65"/>
    <mergeCell ref="E67:O67"/>
    <mergeCell ref="D43:O43"/>
    <mergeCell ref="D44:O44"/>
    <mergeCell ref="E59:O59"/>
    <mergeCell ref="E56:O56"/>
    <mergeCell ref="E57:O57"/>
    <mergeCell ref="E61:O61"/>
    <mergeCell ref="E63:O63"/>
    <mergeCell ref="E34:O34"/>
    <mergeCell ref="H21:O21"/>
  </mergeCells>
  <hyperlinks>
    <hyperlink ref="G41" r:id="rId1" xr:uid="{E30F7BAC-667F-4F30-B9F7-24314A39F64F}"/>
    <hyperlink ref="G95" r:id="rId2" xr:uid="{07D14DEB-AC88-4B57-99AB-4DFF82076C66}"/>
  </hyperlinks>
  <pageMargins left="0.7" right="0.34" top="0.53" bottom="0.47" header="0.3" footer="0.3"/>
  <pageSetup scale="59" orientation="portrait" r:id="rId3"/>
  <rowBreaks count="3" manualBreakCount="3">
    <brk id="44" max="16383" man="1"/>
    <brk id="47" min="3" max="14" man="1"/>
    <brk id="48" max="16383" man="1"/>
  </rowBreaks>
  <colBreaks count="3" manualBreakCount="3">
    <brk id="3" max="1048575" man="1"/>
    <brk id="4" max="1048575" man="1"/>
    <brk id="15" max="1048575" man="1"/>
  </colBreaks>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A1DDF-2D5E-4620-A88C-DEF0A57D4C9C}">
  <sheetPr>
    <pageSetUpPr fitToPage="1"/>
  </sheetPr>
  <dimension ref="A1:T96"/>
  <sheetViews>
    <sheetView view="pageBreakPreview" topLeftCell="A16" zoomScale="85" zoomScaleNormal="100" zoomScaleSheetLayoutView="85" workbookViewId="0">
      <selection activeCell="E26" sqref="E26:O26"/>
    </sheetView>
  </sheetViews>
  <sheetFormatPr defaultColWidth="9.140625" defaultRowHeight="14.25"/>
  <cols>
    <col min="1" max="3" width="9.140625" style="47"/>
    <col min="4" max="4" width="4.28515625" style="47" customWidth="1"/>
    <col min="5" max="5" width="5.28515625" style="47" customWidth="1"/>
    <col min="6" max="6" width="15.85546875" style="47" customWidth="1"/>
    <col min="7" max="7" width="10.28515625" style="47" customWidth="1"/>
    <col min="8" max="9" width="9.140625" style="47"/>
    <col min="10" max="10" width="9.42578125" style="47" bestFit="1" customWidth="1"/>
    <col min="11" max="11" width="10.7109375" style="47" customWidth="1"/>
    <col min="12" max="14" width="9.140625" style="47"/>
    <col min="15" max="15" width="39.28515625" style="47" customWidth="1"/>
    <col min="16" max="16384" width="9.140625" style="47"/>
  </cols>
  <sheetData>
    <row r="1" spans="1:15" ht="27.6" customHeight="1" thickBot="1">
      <c r="A1" s="82" t="s">
        <v>223</v>
      </c>
    </row>
    <row r="2" spans="1:15" ht="18" customHeight="1"/>
    <row r="3" spans="1:15" ht="18" customHeight="1"/>
    <row r="4" spans="1:15" ht="18" customHeight="1"/>
    <row r="6" spans="1:15" ht="18">
      <c r="D6" s="136" t="s">
        <v>0</v>
      </c>
      <c r="E6" s="136"/>
      <c r="F6" s="136"/>
      <c r="G6" s="136"/>
      <c r="H6" s="136"/>
      <c r="I6" s="136"/>
      <c r="J6" s="136"/>
      <c r="K6" s="136"/>
      <c r="L6" s="136"/>
      <c r="M6" s="136"/>
      <c r="N6" s="136"/>
      <c r="O6" s="136"/>
    </row>
    <row r="8" spans="1:15" ht="15.75">
      <c r="D8" s="137" t="str">
        <f>_xlfn.XLOOKUP(A1,'Contract Data'!C:C,'Contract Data'!I:I)</f>
        <v>S/AGFZE/AL/PO/002/2026-27</v>
      </c>
      <c r="E8" s="137"/>
      <c r="F8" s="137"/>
      <c r="G8" s="137"/>
      <c r="H8" s="137"/>
      <c r="O8" s="85" t="str">
        <f>"DATE: "&amp;TEXT(_xlfn.XLOOKUP(A1,'Contract Data'!C:C,'Contract Data'!D:D),"dd/mm/yyyy")</f>
        <v>DATE: 08/04/2026</v>
      </c>
    </row>
    <row r="10" spans="1:15" ht="15.75">
      <c r="D10" s="59" t="str">
        <f>_xlfn.XLOOKUP(A1,'Contract Data'!C:C,'Contract Data'!H:H)</f>
        <v>PARAS OVERSEAS</v>
      </c>
      <c r="E10" s="59"/>
      <c r="F10" s="59"/>
      <c r="G10" s="59"/>
      <c r="H10" s="59"/>
      <c r="I10" s="60"/>
    </row>
    <row r="11" spans="1:15" ht="53.45" customHeight="1">
      <c r="D11" s="135" t="str">
        <f>_xlfn.XLOOKUP(A1,'Contract Data'!C:C,'Contract Data'!J:J) &amp; _xlfn.XLOOKUP(A1,'Contract Data'!C:C,'Contract Data'!K:K)</f>
        <v>1008, 10TH FLOOR, SUKHSAGAR COMPLEX, FORTUNE LANDMARK HOTEL, USMANPURA-380013, AHMEDABAD, INDIA</v>
      </c>
      <c r="E11" s="135"/>
      <c r="F11" s="135"/>
      <c r="G11" s="135"/>
      <c r="H11" s="135"/>
      <c r="I11" s="135"/>
      <c r="J11" s="135"/>
      <c r="K11" s="135"/>
      <c r="L11" s="135"/>
    </row>
    <row r="12" spans="1:15" ht="53.25" customHeight="1">
      <c r="D12" s="135" t="str">
        <f>_xlfn.XLOOKUP(A1,'Contract Data'!C:C,'Contract Data'!M:M)&amp;", "&amp;_xlfn.XLOOKUP(A1,'Contract Data'!C:C,'Contract Data'!N:N)&amp;", "&amp;_xlfn.XLOOKUP(A1,'Contract Data'!C:C,'Contract Data'!O:O)&amp;", "&amp;_xlfn.XLOOKUP(A1,'Contract Data'!C:C,'Contract Data'!R:R)&amp;", "&amp;_xlfn.XLOOKUP(A1,'Contract Data'!C:C,'Contract Data'!Q:Q)</f>
        <v>IEC: 0814022944, PAN: AAQFP6007J, GST: 24AAQFP6007J1Z1, EMAIL: JAINAM@PARASGROUPS.IN, TEL: +91-9978050608</v>
      </c>
      <c r="E12" s="135"/>
      <c r="F12" s="135"/>
      <c r="G12" s="135"/>
      <c r="H12" s="135"/>
      <c r="I12" s="135"/>
      <c r="J12" s="135"/>
      <c r="K12" s="135"/>
      <c r="L12" s="135"/>
    </row>
    <row r="13" spans="1:15" ht="15.75">
      <c r="D13" s="138" t="s">
        <v>2</v>
      </c>
      <c r="E13" s="138"/>
      <c r="F13" s="138"/>
      <c r="G13" s="138"/>
      <c r="H13" s="138"/>
      <c r="I13" s="138"/>
      <c r="J13" s="138"/>
      <c r="K13" s="138"/>
      <c r="L13" s="138"/>
      <c r="M13" s="138"/>
    </row>
    <row r="15" spans="1:15" ht="15.75">
      <c r="D15" s="61" t="s">
        <v>5</v>
      </c>
      <c r="E15" s="62" t="s">
        <v>4</v>
      </c>
      <c r="F15" s="60"/>
      <c r="G15" s="60"/>
      <c r="H15" s="60"/>
      <c r="I15" s="60"/>
      <c r="J15" s="60"/>
      <c r="K15" s="60"/>
      <c r="L15" s="60"/>
      <c r="M15" s="60"/>
      <c r="N15" s="60"/>
      <c r="O15" s="60"/>
    </row>
    <row r="16" spans="1:15" ht="15.75">
      <c r="D16" s="59"/>
      <c r="E16" s="61" t="s">
        <v>83</v>
      </c>
      <c r="F16" s="59" t="str">
        <f>_xlfn.XLOOKUP(A1,'Contract Data'!C:C,'Contract Data'!S:S)&amp;" (HS CODE: "&amp;_xlfn.XLOOKUP(A1,'Contract Data'!C:C,'Contract Data'!T:T)&amp;")"</f>
        <v>ALUMINIUM SCRAP TALLY AS PER ISRI (HS CODE: HS CODE: 76020010)</v>
      </c>
      <c r="G16" s="60"/>
      <c r="H16" s="60"/>
      <c r="I16" s="60"/>
      <c r="J16" s="60"/>
      <c r="K16" s="60"/>
      <c r="L16" s="60"/>
      <c r="M16" s="60"/>
      <c r="N16" s="60"/>
      <c r="O16" s="60"/>
    </row>
    <row r="17" spans="4:20" ht="58.5" customHeight="1">
      <c r="D17" s="59"/>
      <c r="E17" s="63" t="s">
        <v>74</v>
      </c>
      <c r="F17" s="139" t="s">
        <v>115</v>
      </c>
      <c r="G17" s="140"/>
      <c r="H17" s="140"/>
      <c r="I17" s="140"/>
      <c r="J17" s="140"/>
      <c r="K17" s="140"/>
      <c r="L17" s="140"/>
      <c r="M17" s="140"/>
      <c r="N17" s="140"/>
      <c r="O17" s="140"/>
      <c r="P17" s="54"/>
    </row>
    <row r="18" spans="4:20" ht="15.75">
      <c r="D18" s="59"/>
      <c r="E18" s="61" t="s">
        <v>76</v>
      </c>
      <c r="F18" s="60" t="s">
        <v>193</v>
      </c>
      <c r="G18" s="64"/>
      <c r="H18" s="59" t="str">
        <f>_xlfn.XLOOKUP(A1,'Contract Data'!C:C,'Contract Data'!U:U)</f>
        <v>DAMMAM VIA JEDDAH, SAUDI ARABIA</v>
      </c>
      <c r="I18" s="60"/>
      <c r="J18" s="60"/>
      <c r="K18" s="60"/>
      <c r="L18" s="60"/>
      <c r="M18" s="60"/>
      <c r="N18" s="60"/>
      <c r="O18" s="60"/>
    </row>
    <row r="19" spans="4:20" ht="15.75">
      <c r="D19" s="59"/>
      <c r="E19" s="61" t="s">
        <v>77</v>
      </c>
      <c r="F19" s="65" t="s">
        <v>192</v>
      </c>
      <c r="G19" s="64"/>
      <c r="H19" s="59" t="str">
        <f>"ANY PORT (S) IN "&amp;_xlfn.XLOOKUP(A1,'Contract Data'!C:C,'Contract Data'!V:V)</f>
        <v>ANY PORT (S) IN SAUDI ARABIA</v>
      </c>
      <c r="I19" s="60"/>
      <c r="J19" s="60"/>
      <c r="K19" s="60"/>
      <c r="L19" s="60"/>
      <c r="M19" s="60"/>
      <c r="N19" s="60"/>
      <c r="O19" s="60"/>
    </row>
    <row r="20" spans="4:20" ht="33" customHeight="1">
      <c r="D20" s="59"/>
      <c r="E20" s="63" t="s">
        <v>78</v>
      </c>
      <c r="F20" s="44" t="s">
        <v>191</v>
      </c>
      <c r="G20" s="64"/>
      <c r="H20" s="135" t="str">
        <f>_xlfn.XLOOKUP(A1,'Contract Data'!C:C,'Contract Data'!Z:Z)&amp;", "&amp;_xlfn.XLOOKUP(A1,'Contract Data'!C:C,'Contract Data'!W:W)&amp;" "&amp;_xlfn.XLOOKUP(A1,'Contract Data'!C:C,'Contract Data'!X:X)&amp;", "&amp;_xlfn.XLOOKUP(A1,'Contract Data'!C:C,'Contract Data'!L:L)&amp;", "&amp;_xlfn.XLOOKUP(A1,'Contract Data'!C:C,'Contract Data'!Y:Y)</f>
        <v>CIF, MUNDRA ICD AHMEDABAD, INDIA, (INLAND HAULAGE CHARGES ON BUYER’S ACCOUNT)</v>
      </c>
      <c r="I20" s="135"/>
      <c r="J20" s="135"/>
      <c r="K20" s="135"/>
      <c r="L20" s="135"/>
      <c r="M20" s="135"/>
      <c r="N20" s="135"/>
      <c r="O20" s="135"/>
      <c r="P20" s="55"/>
      <c r="Q20" s="55"/>
      <c r="R20" s="55"/>
    </row>
    <row r="21" spans="4:20" ht="36" customHeight="1">
      <c r="D21" s="59"/>
      <c r="E21" s="63" t="s">
        <v>79</v>
      </c>
      <c r="F21" s="141" t="s">
        <v>80</v>
      </c>
      <c r="G21" s="141"/>
      <c r="H21" s="135" t="str">
        <f>_xlfn.XLOOKUP(A1,'Contract Data'!C:C,'Contract Data'!AA:AA)&amp;" MT "&amp;_xlfn.XLOOKUP(A1,'Contract Data'!C:C,'Contract Data'!AB:AB)&amp;" (SELLER’S OPTION) IN "&amp;_xlfn.XLOOKUP(A1,'Contract Data'!C:C,'Contract Data'!AC:AC)&amp;" IN "&amp;_xlfn.XLOOKUP(A1,'Contract Data'!C:C,'Contract Data'!AD:AD)&amp;" X "&amp;_xlfn.XLOOKUP(A1,'Contract Data'!C:C,'Contract Data'!AE:AE)&amp;" CONTAINER/S"</f>
        <v>21 MT +/-10% (SELLER’S OPTION) IN  BRIQUETTED IN 1 X 20 CONTAINER/S</v>
      </c>
      <c r="I21" s="135"/>
      <c r="J21" s="135"/>
      <c r="K21" s="135"/>
      <c r="L21" s="135"/>
      <c r="M21" s="135"/>
      <c r="N21" s="135"/>
      <c r="O21" s="135"/>
    </row>
    <row r="22" spans="4:20" ht="15.75">
      <c r="D22" s="59"/>
      <c r="E22" s="61"/>
      <c r="F22" s="66"/>
      <c r="G22" s="64"/>
      <c r="H22" s="58"/>
      <c r="I22" s="60"/>
      <c r="J22" s="60"/>
      <c r="K22" s="60"/>
      <c r="L22" s="60"/>
      <c r="M22" s="60"/>
      <c r="N22" s="60"/>
      <c r="O22" s="60"/>
    </row>
    <row r="23" spans="4:20" ht="28.5" customHeight="1">
      <c r="D23" s="63" t="s">
        <v>6</v>
      </c>
      <c r="E23" s="80" t="s">
        <v>110</v>
      </c>
      <c r="F23" s="60"/>
      <c r="G23" s="60"/>
      <c r="H23" s="135" t="str">
        <f>_xlfn.XLOOKUP(A1,'Contract Data'!C:C,'Contract Data'!AF:AF)&amp;" AGAINST FOLLOWING DOCUMENTS"</f>
        <v>100% CAD THROUGH BANK AGAINST FOLLOWING DOCUMENTS</v>
      </c>
      <c r="I23" s="135"/>
      <c r="J23" s="135"/>
      <c r="K23" s="135"/>
      <c r="L23" s="135"/>
      <c r="M23" s="135"/>
      <c r="N23" s="135"/>
      <c r="O23" s="135"/>
    </row>
    <row r="24" spans="4:20" ht="50.25" customHeight="1">
      <c r="D24" s="59"/>
      <c r="E24" s="139" t="str">
        <f>_xlfn.XLOOKUP(A1,'Contract Data'!C:C,'Contract Data'!AG:AG)</f>
        <v>1) FULL SET (3/3) ORIGINAL BILL OF LADING B/L TO SHOW “FREIGHT PREPAID” 2) COMMERCIAL INVOICE 3) PACKING LIST 4) CERTIFICATE OF ORIGIN 5) INSURANCE CERTIFICATE 6) FREIGHT CERTIFICATE 7) FORM 6 &amp; FORM 9 8) CHEMICAL ANALYSIS CERTIFICATE 9) PSIC CERTIFICATE 10) NO WAR CERTIFICATE.</v>
      </c>
      <c r="F24" s="139"/>
      <c r="G24" s="139"/>
      <c r="H24" s="139"/>
      <c r="I24" s="139"/>
      <c r="J24" s="139"/>
      <c r="K24" s="139"/>
      <c r="L24" s="139"/>
      <c r="M24" s="139"/>
      <c r="N24" s="139"/>
      <c r="O24" s="139"/>
      <c r="P24" s="50"/>
    </row>
    <row r="25" spans="4:20" ht="15.75">
      <c r="D25" s="59"/>
      <c r="E25" s="61"/>
      <c r="F25" s="66"/>
      <c r="G25" s="64"/>
      <c r="H25" s="58"/>
      <c r="I25" s="60"/>
      <c r="J25" s="60"/>
      <c r="K25" s="60"/>
      <c r="L25" s="60"/>
      <c r="M25" s="60"/>
      <c r="N25" s="60"/>
      <c r="O25" s="60"/>
    </row>
    <row r="26" spans="4:20" ht="24.6" customHeight="1">
      <c r="D26" s="63" t="s">
        <v>7</v>
      </c>
      <c r="E26" s="135" t="str">
        <f>"PRICE : USD "&amp;_xlfn.XLOOKUP(A1,'Contract Data'!C:C,'Contract Data'!AJ:AJ)&amp;" PMT"&amp;", "&amp;_xlfn.XLOOKUP(A1,'Contract Data'!C:C,'Contract Data'!Z:Z)&amp;" "&amp;_xlfn.XLOOKUP(A1,'Contract Data'!C:C,'Contract Data'!W:W)&amp;", "&amp;_xlfn.XLOOKUP(A1,'Contract Data'!C:C,'Contract Data'!X:X)&amp;" "&amp;_xlfn.XLOOKUP(A1,'Contract Data'!C:C,'Contract Data'!L:L)</f>
        <v>PRICE : USD 2265 PMT, CIF MUNDRA, ICD AHMEDABAD INDIA</v>
      </c>
      <c r="F26" s="135"/>
      <c r="G26" s="135"/>
      <c r="H26" s="135"/>
      <c r="I26" s="135"/>
      <c r="J26" s="135"/>
      <c r="K26" s="135"/>
      <c r="L26" s="135"/>
      <c r="M26" s="135"/>
      <c r="N26" s="135"/>
      <c r="O26" s="135"/>
      <c r="P26" s="49"/>
      <c r="Q26" s="49"/>
      <c r="R26" s="49"/>
      <c r="S26" s="49"/>
      <c r="T26" s="49"/>
    </row>
    <row r="27" spans="4:20" ht="15.75">
      <c r="D27" s="59"/>
      <c r="E27" s="61"/>
      <c r="F27" s="66"/>
      <c r="G27" s="64"/>
      <c r="H27" s="58"/>
      <c r="I27" s="60"/>
      <c r="J27" s="60"/>
      <c r="K27" s="60"/>
      <c r="L27" s="60"/>
      <c r="M27" s="60"/>
      <c r="N27" s="60"/>
      <c r="O27" s="60"/>
    </row>
    <row r="28" spans="4:20" ht="52.5" customHeight="1">
      <c r="D28" s="63" t="s">
        <v>8</v>
      </c>
      <c r="E28" s="140" t="s">
        <v>105</v>
      </c>
      <c r="F28" s="140"/>
      <c r="G28" s="140"/>
      <c r="H28" s="140"/>
      <c r="I28" s="140"/>
      <c r="J28" s="140"/>
      <c r="K28" s="140"/>
      <c r="L28" s="140"/>
      <c r="M28" s="140"/>
      <c r="N28" s="140"/>
      <c r="O28" s="140"/>
    </row>
    <row r="29" spans="4:20" ht="15.75">
      <c r="D29" s="61"/>
      <c r="E29" s="67"/>
      <c r="F29" s="67"/>
      <c r="G29" s="67"/>
      <c r="H29" s="67"/>
      <c r="I29" s="67"/>
      <c r="J29" s="67"/>
      <c r="K29" s="67"/>
      <c r="L29" s="67"/>
      <c r="M29" s="67"/>
      <c r="N29" s="67"/>
      <c r="O29" s="67"/>
    </row>
    <row r="30" spans="4:20" ht="69" customHeight="1">
      <c r="D30" s="63" t="s">
        <v>9</v>
      </c>
      <c r="E30" s="140" t="s">
        <v>19</v>
      </c>
      <c r="F30" s="140"/>
      <c r="G30" s="140"/>
      <c r="H30" s="140"/>
      <c r="I30" s="140"/>
      <c r="J30" s="140"/>
      <c r="K30" s="140"/>
      <c r="L30" s="140"/>
      <c r="M30" s="140"/>
      <c r="N30" s="140"/>
      <c r="O30" s="140"/>
    </row>
    <row r="31" spans="4:20" ht="89.25" customHeight="1">
      <c r="D31" s="63" t="s">
        <v>10</v>
      </c>
      <c r="E31" s="140" t="s">
        <v>106</v>
      </c>
      <c r="F31" s="140"/>
      <c r="G31" s="140"/>
      <c r="H31" s="140"/>
      <c r="I31" s="140"/>
      <c r="J31" s="140"/>
      <c r="K31" s="140"/>
      <c r="L31" s="140"/>
      <c r="M31" s="140"/>
      <c r="N31" s="140"/>
      <c r="O31" s="140"/>
    </row>
    <row r="32" spans="4:20" ht="117" customHeight="1">
      <c r="D32" s="63" t="s">
        <v>11</v>
      </c>
      <c r="E32" s="140" t="s">
        <v>21</v>
      </c>
      <c r="F32" s="140"/>
      <c r="G32" s="140"/>
      <c r="H32" s="140"/>
      <c r="I32" s="140"/>
      <c r="J32" s="140"/>
      <c r="K32" s="140"/>
      <c r="L32" s="140"/>
      <c r="M32" s="140"/>
      <c r="N32" s="140"/>
      <c r="O32" s="140"/>
    </row>
    <row r="34" spans="4:15" ht="15">
      <c r="D34" s="48"/>
    </row>
    <row r="35" spans="4:15" ht="15.75">
      <c r="D35" s="70" t="s">
        <v>12</v>
      </c>
      <c r="E35" s="60"/>
      <c r="F35" s="60"/>
      <c r="G35" s="60"/>
      <c r="H35" s="71"/>
      <c r="I35" s="71"/>
      <c r="J35" s="60"/>
      <c r="K35" s="60"/>
      <c r="L35" s="60"/>
      <c r="M35" s="60"/>
      <c r="N35" s="60"/>
      <c r="O35" s="60"/>
    </row>
    <row r="36" spans="4:15" ht="15.75">
      <c r="D36" s="41" t="s">
        <v>96</v>
      </c>
      <c r="E36" s="41"/>
      <c r="F36" s="60"/>
      <c r="G36" s="41" t="s">
        <v>86</v>
      </c>
      <c r="H36" s="71"/>
      <c r="I36" s="71"/>
      <c r="J36" s="60"/>
      <c r="K36" s="60"/>
      <c r="L36" s="60"/>
      <c r="M36" s="60"/>
      <c r="N36" s="60"/>
      <c r="O36" s="60"/>
    </row>
    <row r="37" spans="4:15" ht="15.75">
      <c r="D37" s="41" t="s">
        <v>97</v>
      </c>
      <c r="E37" s="41"/>
      <c r="F37" s="60"/>
      <c r="G37" s="41" t="s">
        <v>98</v>
      </c>
      <c r="H37" s="71"/>
      <c r="I37" s="71"/>
      <c r="J37" s="60"/>
      <c r="K37" s="60"/>
      <c r="L37" s="60"/>
      <c r="M37" s="60"/>
      <c r="N37" s="60"/>
      <c r="O37" s="60"/>
    </row>
    <row r="38" spans="4:15" ht="15.75">
      <c r="D38" s="41" t="s">
        <v>99</v>
      </c>
      <c r="E38" s="41"/>
      <c r="F38" s="60"/>
      <c r="G38" s="41" t="s">
        <v>100</v>
      </c>
      <c r="H38" s="71"/>
      <c r="I38" s="60"/>
      <c r="J38" s="60"/>
      <c r="K38" s="60"/>
      <c r="L38" s="60"/>
      <c r="M38" s="60"/>
      <c r="N38" s="60"/>
      <c r="O38" s="60"/>
    </row>
    <row r="39" spans="4:15" ht="15.75">
      <c r="D39" s="41" t="s">
        <v>85</v>
      </c>
      <c r="E39" s="41"/>
      <c r="F39" s="60"/>
      <c r="G39" s="41" t="s">
        <v>101</v>
      </c>
      <c r="H39" s="72"/>
      <c r="I39" s="60"/>
      <c r="J39" s="60"/>
      <c r="K39" s="60"/>
      <c r="L39" s="60"/>
      <c r="M39" s="60"/>
      <c r="N39" s="60"/>
      <c r="O39" s="60"/>
    </row>
    <row r="40" spans="4:15" ht="15">
      <c r="D40" s="71"/>
      <c r="E40" s="60"/>
      <c r="F40" s="60"/>
      <c r="G40" s="60"/>
      <c r="H40" s="72"/>
      <c r="I40" s="60"/>
      <c r="J40" s="60"/>
      <c r="K40" s="60"/>
      <c r="L40" s="60"/>
      <c r="M40" s="60"/>
      <c r="N40" s="60"/>
      <c r="O40" s="60"/>
    </row>
    <row r="41" spans="4:15" ht="15.75">
      <c r="D41" s="142" t="s">
        <v>13</v>
      </c>
      <c r="E41" s="142"/>
      <c r="F41" s="142"/>
      <c r="G41" s="142"/>
      <c r="H41" s="142"/>
      <c r="I41" s="142"/>
      <c r="J41" s="142"/>
      <c r="K41" s="142"/>
      <c r="L41" s="142"/>
      <c r="M41" s="142"/>
      <c r="N41" s="142"/>
      <c r="O41" s="142"/>
    </row>
    <row r="42" spans="4:15" ht="15.75">
      <c r="D42" s="142" t="s">
        <v>14</v>
      </c>
      <c r="E42" s="142"/>
      <c r="F42" s="142"/>
      <c r="G42" s="142"/>
      <c r="H42" s="142"/>
      <c r="I42" s="142"/>
      <c r="J42" s="142"/>
      <c r="K42" s="142"/>
      <c r="L42" s="142"/>
      <c r="M42" s="142"/>
      <c r="N42" s="142"/>
      <c r="O42" s="142"/>
    </row>
    <row r="43" spans="4:15" ht="15">
      <c r="D43" s="48"/>
    </row>
    <row r="44" spans="4:15" ht="15">
      <c r="D44" s="48"/>
    </row>
    <row r="45" spans="4:15" ht="15">
      <c r="D45" s="48"/>
    </row>
    <row r="46" spans="4:15" ht="15">
      <c r="D46" s="48"/>
    </row>
    <row r="47" spans="4:15" ht="15">
      <c r="D47" s="48"/>
    </row>
    <row r="48" spans="4:15" ht="15">
      <c r="D48" s="48"/>
    </row>
    <row r="49" spans="4:15" ht="15">
      <c r="D49" s="48"/>
    </row>
    <row r="50" spans="4:15" ht="15">
      <c r="D50" s="48"/>
    </row>
    <row r="51" spans="4:15" ht="15.75">
      <c r="D51" s="59" t="str">
        <f>D8</f>
        <v>S/AGFZE/AL/PO/002/2026-27</v>
      </c>
      <c r="E51" s="60"/>
      <c r="F51" s="59"/>
      <c r="G51" s="59"/>
      <c r="H51" s="59"/>
      <c r="I51" s="59"/>
      <c r="J51" s="59"/>
      <c r="K51" s="59"/>
      <c r="L51" s="59"/>
      <c r="M51" s="59"/>
      <c r="N51" s="59"/>
      <c r="O51" s="85" t="str">
        <f>O8</f>
        <v>DATE: 08/04/2026</v>
      </c>
    </row>
    <row r="52" spans="4:15" ht="15.75">
      <c r="D52" s="59"/>
      <c r="E52" s="60"/>
      <c r="F52" s="60"/>
      <c r="G52" s="60"/>
      <c r="H52" s="60"/>
      <c r="I52" s="60"/>
      <c r="J52" s="60"/>
      <c r="K52" s="60"/>
      <c r="L52" s="60"/>
      <c r="M52" s="60"/>
      <c r="N52" s="60"/>
      <c r="O52" s="60"/>
    </row>
    <row r="53" spans="4:15" ht="81.75" customHeight="1">
      <c r="D53" s="59"/>
      <c r="E53" s="139" t="s">
        <v>3</v>
      </c>
      <c r="F53" s="139"/>
      <c r="G53" s="139"/>
      <c r="H53" s="139"/>
      <c r="I53" s="139"/>
      <c r="J53" s="139"/>
      <c r="K53" s="139"/>
      <c r="L53" s="139"/>
      <c r="M53" s="139"/>
      <c r="N53" s="139"/>
      <c r="O53" s="139"/>
    </row>
    <row r="54" spans="4:15" ht="49.5" customHeight="1">
      <c r="D54" s="59"/>
      <c r="E54" s="139" t="s">
        <v>22</v>
      </c>
      <c r="F54" s="139"/>
      <c r="G54" s="139"/>
      <c r="H54" s="139"/>
      <c r="I54" s="139"/>
      <c r="J54" s="139"/>
      <c r="K54" s="139"/>
      <c r="L54" s="139"/>
      <c r="M54" s="139"/>
      <c r="N54" s="139"/>
      <c r="O54" s="139"/>
    </row>
    <row r="55" spans="4:15" ht="53.25" customHeight="1">
      <c r="D55" s="60"/>
      <c r="E55" s="139" t="s">
        <v>75</v>
      </c>
      <c r="F55" s="139"/>
      <c r="G55" s="139"/>
      <c r="H55" s="139"/>
      <c r="I55" s="139"/>
      <c r="J55" s="139"/>
      <c r="K55" s="139"/>
      <c r="L55" s="139"/>
      <c r="M55" s="139"/>
      <c r="N55" s="139"/>
      <c r="O55" s="139"/>
    </row>
    <row r="56" spans="4:15" ht="16.5" customHeight="1">
      <c r="D56" s="60"/>
      <c r="E56" s="36"/>
      <c r="F56" s="36"/>
      <c r="G56" s="36"/>
      <c r="H56" s="36"/>
      <c r="I56" s="36"/>
      <c r="J56" s="36"/>
      <c r="K56" s="36"/>
      <c r="L56" s="36"/>
      <c r="M56" s="36"/>
      <c r="N56" s="36"/>
      <c r="O56" s="36"/>
    </row>
    <row r="57" spans="4:15" ht="51.75" customHeight="1">
      <c r="D57" s="63" t="s">
        <v>24</v>
      </c>
      <c r="E57" s="139" t="s">
        <v>25</v>
      </c>
      <c r="F57" s="139"/>
      <c r="G57" s="139"/>
      <c r="H57" s="139"/>
      <c r="I57" s="139"/>
      <c r="J57" s="139"/>
      <c r="K57" s="139"/>
      <c r="L57" s="139"/>
      <c r="M57" s="139"/>
      <c r="N57" s="139"/>
      <c r="O57" s="139"/>
    </row>
    <row r="58" spans="4:15" ht="16.5" customHeight="1">
      <c r="D58" s="60"/>
      <c r="E58" s="36"/>
      <c r="F58" s="36"/>
      <c r="G58" s="36"/>
      <c r="H58" s="36"/>
      <c r="I58" s="36"/>
      <c r="J58" s="36"/>
      <c r="K58" s="36"/>
      <c r="L58" s="36"/>
      <c r="M58" s="36"/>
      <c r="N58" s="36"/>
      <c r="O58" s="36"/>
    </row>
    <row r="59" spans="4:15" ht="15" customHeight="1">
      <c r="D59" s="63" t="s">
        <v>114</v>
      </c>
      <c r="E59" s="139" t="s">
        <v>27</v>
      </c>
      <c r="F59" s="139"/>
      <c r="G59" s="139"/>
      <c r="H59" s="139"/>
      <c r="I59" s="139"/>
      <c r="J59" s="139"/>
      <c r="K59" s="139"/>
      <c r="L59" s="139"/>
      <c r="M59" s="139"/>
      <c r="N59" s="139"/>
      <c r="O59" s="139"/>
    </row>
    <row r="60" spans="4:15" ht="16.5" customHeight="1">
      <c r="D60" s="60"/>
      <c r="E60" s="36"/>
      <c r="F60" s="36"/>
      <c r="G60" s="36"/>
      <c r="H60" s="36"/>
      <c r="I60" s="36"/>
      <c r="J60" s="36"/>
      <c r="K60" s="36"/>
      <c r="L60" s="36"/>
      <c r="M60" s="36"/>
      <c r="N60" s="36"/>
      <c r="O60" s="36"/>
    </row>
    <row r="61" spans="4:15" ht="15" customHeight="1">
      <c r="D61" s="63" t="s">
        <v>28</v>
      </c>
      <c r="E61" s="139" t="str">
        <f>"WEIGHT SHORTAGE WILL NOT BE ACCEPTED LESS THAN "&amp;_xlfn.XLOOKUP(A1,'Contract Data'!C:C,'Contract Data'!AK:AK)&amp;", MORE THAN "&amp;_xlfn.XLOOKUP(A1,'Contract Data'!C:C,'Contract Data'!AK:AK)&amp;" WILL BE CLAIMED"</f>
        <v>WEIGHT SHORTAGE WILL NOT BE ACCEPTED LESS THAN 0.50%, MORE THAN 0.50% WILL BE CLAIMED</v>
      </c>
      <c r="F61" s="139"/>
      <c r="G61" s="139"/>
      <c r="H61" s="139"/>
      <c r="I61" s="139"/>
      <c r="J61" s="139"/>
      <c r="K61" s="139"/>
      <c r="L61" s="139"/>
      <c r="M61" s="139"/>
      <c r="N61" s="139"/>
      <c r="O61" s="139"/>
    </row>
    <row r="62" spans="4:15" ht="15" customHeight="1">
      <c r="D62" s="63"/>
      <c r="E62" s="36"/>
      <c r="F62" s="36"/>
      <c r="G62" s="36"/>
      <c r="H62" s="36"/>
      <c r="I62" s="36"/>
      <c r="J62" s="36"/>
      <c r="K62" s="36"/>
      <c r="L62" s="36"/>
      <c r="M62" s="36"/>
      <c r="N62" s="36"/>
      <c r="O62" s="36"/>
    </row>
    <row r="63" spans="4:15" ht="51" customHeight="1">
      <c r="D63" s="63" t="s">
        <v>89</v>
      </c>
      <c r="E63" s="143" t="s">
        <v>30</v>
      </c>
      <c r="F63" s="143"/>
      <c r="G63" s="143"/>
      <c r="H63" s="143"/>
      <c r="I63" s="143"/>
      <c r="J63" s="143"/>
      <c r="K63" s="143"/>
      <c r="L63" s="143"/>
      <c r="M63" s="143"/>
      <c r="N63" s="143"/>
      <c r="O63" s="143"/>
    </row>
    <row r="64" spans="4:15" ht="16.5" customHeight="1">
      <c r="D64" s="60"/>
      <c r="E64" s="36"/>
      <c r="F64" s="36"/>
      <c r="G64" s="36"/>
      <c r="H64" s="36"/>
      <c r="I64" s="36"/>
      <c r="J64" s="36"/>
      <c r="K64" s="36"/>
      <c r="L64" s="36"/>
      <c r="M64" s="36"/>
      <c r="N64" s="36"/>
      <c r="O64" s="36"/>
    </row>
    <row r="65" spans="4:15" ht="99" customHeight="1">
      <c r="D65" s="63" t="s">
        <v>90</v>
      </c>
      <c r="E65" s="139" t="s">
        <v>31</v>
      </c>
      <c r="F65" s="139"/>
      <c r="G65" s="139"/>
      <c r="H65" s="139"/>
      <c r="I65" s="139"/>
      <c r="J65" s="139"/>
      <c r="K65" s="139"/>
      <c r="L65" s="139"/>
      <c r="M65" s="139"/>
      <c r="N65" s="139"/>
      <c r="O65" s="139"/>
    </row>
    <row r="66" spans="4:15" ht="18.75" customHeight="1">
      <c r="D66" s="63"/>
      <c r="E66" s="36"/>
      <c r="F66" s="36"/>
      <c r="G66" s="36"/>
      <c r="H66" s="36"/>
      <c r="I66" s="36"/>
      <c r="J66" s="36"/>
      <c r="K66" s="36"/>
      <c r="L66" s="36"/>
      <c r="M66" s="36"/>
      <c r="N66" s="36"/>
      <c r="O66" s="36"/>
    </row>
    <row r="67" spans="4:15" ht="15">
      <c r="D67" s="60"/>
      <c r="E67" s="68"/>
      <c r="F67" s="60"/>
      <c r="G67" s="60"/>
      <c r="H67" s="60"/>
      <c r="I67" s="60"/>
      <c r="J67" s="60"/>
      <c r="K67" s="60"/>
      <c r="L67" s="60"/>
      <c r="M67" s="60"/>
      <c r="N67" s="60"/>
      <c r="O67" s="60"/>
    </row>
    <row r="68" spans="4:15" ht="15.75">
      <c r="D68" s="32" t="s">
        <v>92</v>
      </c>
      <c r="E68" s="60"/>
      <c r="F68" s="60"/>
      <c r="G68" s="60"/>
      <c r="H68" s="60"/>
      <c r="I68" s="60"/>
      <c r="J68" s="60"/>
      <c r="K68" s="60"/>
      <c r="L68" s="60"/>
      <c r="M68" s="60"/>
      <c r="N68" s="32" t="s">
        <v>94</v>
      </c>
      <c r="O68" s="60"/>
    </row>
    <row r="69" spans="4:15" ht="15">
      <c r="D69" s="69"/>
      <c r="E69" s="60"/>
      <c r="F69" s="60"/>
      <c r="G69" s="60"/>
      <c r="H69" s="60"/>
      <c r="I69" s="60"/>
      <c r="J69" s="60"/>
      <c r="K69" s="60"/>
      <c r="L69" s="60"/>
      <c r="M69" s="60"/>
      <c r="N69" s="60"/>
      <c r="O69" s="60"/>
    </row>
    <row r="70" spans="4:15" ht="36" customHeight="1">
      <c r="D70" s="81" t="s">
        <v>33</v>
      </c>
      <c r="E70" s="60"/>
      <c r="F70" s="60"/>
      <c r="G70" s="60"/>
      <c r="H70" s="60"/>
      <c r="I70" s="60"/>
      <c r="J70" s="60"/>
      <c r="K70" s="60"/>
      <c r="L70" s="60"/>
      <c r="M70" s="60"/>
      <c r="N70" s="144" t="str">
        <f>"FOR "&amp;D10</f>
        <v>FOR PARAS OVERSEAS</v>
      </c>
      <c r="O70" s="144"/>
    </row>
    <row r="71" spans="4:15" ht="15">
      <c r="D71" s="69"/>
      <c r="E71" s="60"/>
      <c r="F71" s="60"/>
      <c r="G71" s="60"/>
      <c r="H71" s="60"/>
      <c r="I71" s="60"/>
      <c r="J71" s="60"/>
      <c r="K71" s="60"/>
      <c r="L71" s="60"/>
      <c r="M71" s="60"/>
      <c r="N71" s="60"/>
      <c r="O71" s="60"/>
    </row>
    <row r="72" spans="4:15" ht="15">
      <c r="D72" s="69"/>
      <c r="E72" s="60"/>
      <c r="F72" s="60"/>
      <c r="G72" s="60"/>
      <c r="H72" s="60"/>
      <c r="I72" s="60"/>
      <c r="J72" s="60"/>
      <c r="K72" s="60"/>
      <c r="L72" s="60"/>
      <c r="M72" s="60"/>
      <c r="N72" s="60"/>
      <c r="O72" s="60"/>
    </row>
    <row r="73" spans="4:15" ht="15">
      <c r="D73" s="69"/>
      <c r="E73" s="60"/>
      <c r="F73" s="60"/>
      <c r="G73" s="60"/>
      <c r="H73" s="60"/>
      <c r="I73" s="60"/>
      <c r="J73" s="60"/>
      <c r="K73" s="60"/>
      <c r="L73" s="60"/>
      <c r="M73" s="60"/>
      <c r="N73" s="60"/>
      <c r="O73" s="60"/>
    </row>
    <row r="74" spans="4:15" ht="15.75">
      <c r="D74" s="32" t="s">
        <v>93</v>
      </c>
      <c r="E74" s="60"/>
      <c r="F74" s="60"/>
      <c r="G74" s="60"/>
      <c r="H74" s="60"/>
      <c r="I74" s="60"/>
      <c r="J74" s="60"/>
      <c r="K74" s="60"/>
      <c r="L74" s="60"/>
      <c r="M74" s="60"/>
      <c r="N74" s="32" t="s">
        <v>95</v>
      </c>
      <c r="O74" s="60"/>
    </row>
    <row r="75" spans="4:15" ht="15">
      <c r="D75" s="60"/>
      <c r="E75" s="60"/>
      <c r="F75" s="60"/>
      <c r="G75" s="60"/>
      <c r="H75" s="60"/>
      <c r="I75" s="60"/>
      <c r="J75" s="60"/>
      <c r="K75" s="60"/>
      <c r="L75" s="60"/>
      <c r="M75" s="60"/>
      <c r="N75" s="60"/>
      <c r="O75" s="60"/>
    </row>
    <row r="88" spans="4:15" ht="15">
      <c r="D88" s="48"/>
    </row>
    <row r="89" spans="4:15" ht="15.75">
      <c r="D89" s="70" t="s">
        <v>12</v>
      </c>
      <c r="E89" s="60"/>
      <c r="F89" s="60"/>
      <c r="G89" s="60"/>
      <c r="H89" s="71"/>
      <c r="I89" s="71"/>
      <c r="J89" s="60"/>
      <c r="K89" s="60"/>
      <c r="L89" s="60"/>
      <c r="M89" s="60"/>
      <c r="N89" s="60"/>
      <c r="O89" s="60"/>
    </row>
    <row r="90" spans="4:15" ht="15.75">
      <c r="D90" s="41" t="s">
        <v>96</v>
      </c>
      <c r="E90" s="41"/>
      <c r="F90" s="60"/>
      <c r="G90" s="41" t="s">
        <v>86</v>
      </c>
      <c r="H90" s="71"/>
      <c r="I90" s="71"/>
      <c r="J90" s="60"/>
      <c r="K90" s="60"/>
      <c r="L90" s="60"/>
      <c r="M90" s="60"/>
      <c r="N90" s="60"/>
      <c r="O90" s="60"/>
    </row>
    <row r="91" spans="4:15" ht="15.75">
      <c r="D91" s="41" t="s">
        <v>97</v>
      </c>
      <c r="E91" s="41"/>
      <c r="F91" s="60"/>
      <c r="G91" s="41" t="s">
        <v>98</v>
      </c>
      <c r="H91" s="71"/>
      <c r="I91" s="71"/>
      <c r="J91" s="60"/>
      <c r="K91" s="60"/>
      <c r="L91" s="60"/>
      <c r="M91" s="60"/>
      <c r="N91" s="60"/>
      <c r="O91" s="60"/>
    </row>
    <row r="92" spans="4:15" ht="15.75">
      <c r="D92" s="41" t="s">
        <v>99</v>
      </c>
      <c r="E92" s="41"/>
      <c r="F92" s="60"/>
      <c r="G92" s="41" t="s">
        <v>100</v>
      </c>
      <c r="H92" s="71"/>
      <c r="I92" s="60"/>
      <c r="J92" s="60"/>
      <c r="K92" s="60"/>
      <c r="L92" s="60"/>
      <c r="M92" s="60"/>
      <c r="N92" s="60"/>
      <c r="O92" s="60"/>
    </row>
    <row r="93" spans="4:15" ht="15.75">
      <c r="D93" s="41" t="s">
        <v>85</v>
      </c>
      <c r="E93" s="41"/>
      <c r="F93" s="60"/>
      <c r="G93" s="41" t="s">
        <v>101</v>
      </c>
      <c r="H93" s="72"/>
      <c r="I93" s="60"/>
      <c r="J93" s="60"/>
      <c r="K93" s="60"/>
      <c r="L93" s="60"/>
      <c r="M93" s="60"/>
      <c r="N93" s="60"/>
      <c r="O93" s="60"/>
    </row>
    <row r="94" spans="4:15" ht="15">
      <c r="D94" s="71"/>
      <c r="E94" s="60"/>
      <c r="F94" s="60"/>
      <c r="G94" s="60"/>
      <c r="H94" s="72"/>
      <c r="I94" s="60"/>
      <c r="J94" s="60"/>
      <c r="K94" s="60"/>
      <c r="L94" s="60"/>
      <c r="M94" s="60"/>
      <c r="N94" s="60"/>
      <c r="O94" s="60"/>
    </row>
    <row r="95" spans="4:15" ht="15.75">
      <c r="D95" s="142" t="s">
        <v>13</v>
      </c>
      <c r="E95" s="142"/>
      <c r="F95" s="142"/>
      <c r="G95" s="142"/>
      <c r="H95" s="142"/>
      <c r="I95" s="142"/>
      <c r="J95" s="142"/>
      <c r="K95" s="142"/>
      <c r="L95" s="142"/>
      <c r="M95" s="142"/>
      <c r="N95" s="142"/>
      <c r="O95" s="142"/>
    </row>
    <row r="96" spans="4:15" ht="15.75">
      <c r="D96" s="142" t="s">
        <v>14</v>
      </c>
      <c r="E96" s="142"/>
      <c r="F96" s="142"/>
      <c r="G96" s="142"/>
      <c r="H96" s="142"/>
      <c r="I96" s="142"/>
      <c r="J96" s="142"/>
      <c r="K96" s="142"/>
      <c r="L96" s="142"/>
      <c r="M96" s="142"/>
      <c r="N96" s="142"/>
      <c r="O96" s="142"/>
    </row>
  </sheetData>
  <mergeCells count="29">
    <mergeCell ref="E61:O61"/>
    <mergeCell ref="E63:O63"/>
    <mergeCell ref="E65:O65"/>
    <mergeCell ref="D95:O95"/>
    <mergeCell ref="D96:O96"/>
    <mergeCell ref="N70:O70"/>
    <mergeCell ref="E59:O59"/>
    <mergeCell ref="E28:O28"/>
    <mergeCell ref="E30:O30"/>
    <mergeCell ref="E31:O31"/>
    <mergeCell ref="E32:O32"/>
    <mergeCell ref="D41:O41"/>
    <mergeCell ref="D42:O42"/>
    <mergeCell ref="E53:O53"/>
    <mergeCell ref="E54:O54"/>
    <mergeCell ref="E55:O55"/>
    <mergeCell ref="E57:O57"/>
    <mergeCell ref="E26:O26"/>
    <mergeCell ref="D6:O6"/>
    <mergeCell ref="D8:H8"/>
    <mergeCell ref="D11:L11"/>
    <mergeCell ref="D12:L12"/>
    <mergeCell ref="D13:M13"/>
    <mergeCell ref="F17:O17"/>
    <mergeCell ref="H20:O20"/>
    <mergeCell ref="F21:G21"/>
    <mergeCell ref="H21:O21"/>
    <mergeCell ref="H23:O23"/>
    <mergeCell ref="E24:O24"/>
  </mergeCells>
  <hyperlinks>
    <hyperlink ref="G39" r:id="rId1" xr:uid="{2FBF7D23-41FE-4CDD-8739-45F7BEC54550}"/>
    <hyperlink ref="G93" r:id="rId2" xr:uid="{6BC181EA-7712-4B0B-B67D-5F8DCFC39BA7}"/>
  </hyperlinks>
  <pageMargins left="0.7" right="0.34" top="0.53" bottom="0.47" header="0.3" footer="0.3"/>
  <pageSetup scale="63" orientation="portrait" r:id="rId3"/>
  <rowBreaks count="3" manualBreakCount="3">
    <brk id="42" max="16383" man="1"/>
    <brk id="45" min="3" max="14" man="1"/>
    <brk id="46" max="16383" man="1"/>
  </rowBreaks>
  <colBreaks count="3" manualBreakCount="3">
    <brk id="3" max="1048575" man="1"/>
    <brk id="4" max="1048575" man="1"/>
    <brk id="15" max="1048575" man="1"/>
  </colBreaks>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D25A7-CFD6-4DEE-9983-F64B3218BF7C}">
  <sheetPr>
    <pageSetUpPr fitToPage="1"/>
  </sheetPr>
  <dimension ref="A1:W98"/>
  <sheetViews>
    <sheetView view="pageBreakPreview" topLeftCell="A11" zoomScale="85" zoomScaleNormal="100" zoomScaleSheetLayoutView="85" workbookViewId="0">
      <selection activeCell="E28" sqref="E28:O28"/>
    </sheetView>
  </sheetViews>
  <sheetFormatPr defaultColWidth="9.140625" defaultRowHeight="14.25"/>
  <cols>
    <col min="1" max="3" width="9.140625" style="47"/>
    <col min="4" max="4" width="4.28515625" style="47" customWidth="1"/>
    <col min="5" max="5" width="5.28515625" style="47" customWidth="1"/>
    <col min="6" max="6" width="15.85546875" style="47" customWidth="1"/>
    <col min="7" max="7" width="10.85546875" style="47" customWidth="1"/>
    <col min="8" max="9" width="9.140625" style="47"/>
    <col min="10" max="10" width="9.42578125" style="47" bestFit="1" customWidth="1"/>
    <col min="11" max="11" width="10.7109375" style="47" customWidth="1"/>
    <col min="12" max="14" width="9.140625" style="47"/>
    <col min="15" max="15" width="39.28515625" style="47" customWidth="1"/>
    <col min="16" max="16384" width="9.140625" style="47"/>
  </cols>
  <sheetData>
    <row r="1" spans="1:15" ht="27.6" customHeight="1" thickBot="1">
      <c r="A1" s="82" t="s">
        <v>235</v>
      </c>
    </row>
    <row r="2" spans="1:15" ht="18" customHeight="1"/>
    <row r="3" spans="1:15" ht="18" customHeight="1"/>
    <row r="4" spans="1:15" ht="18" customHeight="1"/>
    <row r="6" spans="1:15" ht="18">
      <c r="D6" s="136" t="s">
        <v>0</v>
      </c>
      <c r="E6" s="136"/>
      <c r="F6" s="136"/>
      <c r="G6" s="136"/>
      <c r="H6" s="136"/>
      <c r="I6" s="136"/>
      <c r="J6" s="136"/>
      <c r="K6" s="136"/>
      <c r="L6" s="136"/>
      <c r="M6" s="136"/>
      <c r="N6" s="136"/>
      <c r="O6" s="136"/>
    </row>
    <row r="8" spans="1:15" ht="15.75">
      <c r="D8" s="179" t="str">
        <f>_xlfn.XLOOKUP(A1,'Contract Data'!C:C,'Contract Data'!I:I)</f>
        <v>S/AGFZE/CU/NC/004/2026-27</v>
      </c>
      <c r="E8" s="179"/>
      <c r="F8" s="179"/>
      <c r="G8" s="179"/>
      <c r="H8" s="179"/>
      <c r="O8" s="85" t="str">
        <f>"DATE: "&amp;TEXT(_xlfn.XLOOKUP(A1,'Contract Data'!C:C,'Contract Data'!D:D),"dd/mm/yyyy")</f>
        <v>DATE: 06/06/2026</v>
      </c>
    </row>
    <row r="10" spans="1:15" ht="15.75">
      <c r="D10" s="180" t="str">
        <f>_xlfn.XLOOKUP(A1,'Contract Data'!C:C,'Contract Data'!H:H)</f>
        <v>NINGBO CIMEI IMPORT &amp; EXPORT CO., LTD</v>
      </c>
      <c r="E10" s="180"/>
      <c r="F10" s="180"/>
      <c r="G10" s="180"/>
      <c r="H10" s="180"/>
      <c r="I10" s="181"/>
      <c r="J10" s="95"/>
      <c r="K10" s="95"/>
      <c r="L10" s="95"/>
      <c r="M10" s="95"/>
    </row>
    <row r="11" spans="1:15" ht="54.75" customHeight="1">
      <c r="D11" s="182" t="str">
        <f>_xlfn.XLOOKUP(A1,'Contract Data'!C:C,'Contract Data'!J:J)&amp;_xlfn.XLOOKUP(A1,'Contract Data'!C:C,'Contract Data'!K:K)</f>
        <v>18F, Block A, Ningxing International Trade Building, 510 Heyuan Road,Yinzhou District, Ningbo, 315040, P.R.C</v>
      </c>
      <c r="E11" s="182"/>
      <c r="F11" s="182"/>
      <c r="G11" s="182"/>
      <c r="H11" s="182"/>
      <c r="I11" s="182"/>
      <c r="J11" s="182"/>
      <c r="K11" s="182"/>
      <c r="L11" s="182"/>
      <c r="M11" s="183"/>
    </row>
    <row r="12" spans="1:15" ht="69.95" customHeight="1">
      <c r="D12" s="182" t="str">
        <f>_xlfn.XLOOKUP(A1,'Contract Data'!C:C,'Contract Data'!P:P)&amp;""&amp;_xlfn.XLOOKUP(A1,'Contract Data'!C:C,'Contract Data'!R:R)&amp;""&amp;_xlfn.XLOOKUP(A1,'Contract Data'!C:C,'Contract Data'!Q:Q)</f>
        <v>91330201698240267Gamy.jiang@futureie.comTel: 0086-574-87780225</v>
      </c>
      <c r="E12" s="182"/>
      <c r="F12" s="182"/>
      <c r="G12" s="182"/>
      <c r="H12" s="182"/>
      <c r="I12" s="182"/>
      <c r="J12" s="182"/>
      <c r="K12" s="182"/>
      <c r="L12" s="182"/>
      <c r="M12" s="182"/>
    </row>
    <row r="13" spans="1:15" ht="15.75">
      <c r="D13" s="138" t="s">
        <v>2</v>
      </c>
      <c r="E13" s="138"/>
      <c r="F13" s="138"/>
      <c r="G13" s="138"/>
      <c r="H13" s="138"/>
      <c r="I13" s="138"/>
      <c r="J13" s="138"/>
      <c r="K13" s="138"/>
      <c r="L13" s="138"/>
      <c r="M13" s="138"/>
    </row>
    <row r="15" spans="1:15" ht="15.75">
      <c r="D15" s="61" t="s">
        <v>5</v>
      </c>
      <c r="E15" s="62" t="s">
        <v>4</v>
      </c>
      <c r="F15" s="60"/>
      <c r="G15" s="60"/>
      <c r="H15" s="60"/>
      <c r="I15" s="60"/>
      <c r="J15" s="60"/>
      <c r="K15" s="60"/>
      <c r="L15" s="60"/>
      <c r="M15" s="60"/>
      <c r="N15" s="60"/>
      <c r="O15" s="60"/>
    </row>
    <row r="16" spans="1:15" ht="26.45" customHeight="1">
      <c r="D16" s="59"/>
      <c r="E16" s="63" t="s">
        <v>83</v>
      </c>
      <c r="F16" s="182" t="str">
        <f>_xlfn.XLOOKUP(A1,'Contract Data'!C:C,'Contract Data'!S:S)</f>
        <v>COPPER INGOTS 99%</v>
      </c>
      <c r="G16" s="182"/>
      <c r="H16" s="182"/>
      <c r="I16" s="182"/>
      <c r="J16" s="182"/>
      <c r="K16" s="182"/>
      <c r="L16" s="182"/>
      <c r="M16" s="182"/>
      <c r="N16" s="182"/>
      <c r="O16" s="182"/>
    </row>
    <row r="17" spans="4:23" ht="52.5" customHeight="1">
      <c r="D17" s="59"/>
      <c r="E17" s="63" t="s">
        <v>74</v>
      </c>
      <c r="F17" s="139" t="s">
        <v>115</v>
      </c>
      <c r="G17" s="140"/>
      <c r="H17" s="140"/>
      <c r="I17" s="140"/>
      <c r="J17" s="140"/>
      <c r="K17" s="140"/>
      <c r="L17" s="140"/>
      <c r="M17" s="140"/>
      <c r="N17" s="140"/>
      <c r="O17" s="140"/>
      <c r="P17" s="54"/>
    </row>
    <row r="18" spans="4:23" ht="15.75">
      <c r="D18" s="59"/>
      <c r="E18" s="61" t="s">
        <v>76</v>
      </c>
      <c r="F18" s="60" t="s">
        <v>180</v>
      </c>
      <c r="G18" s="64"/>
      <c r="H18" s="180" t="str">
        <f>_xlfn.XLOOKUP(A1,'Contract Data'!C:C,'Contract Data'!U:U)</f>
        <v>PAKISTAN</v>
      </c>
      <c r="I18" s="181"/>
      <c r="J18" s="181"/>
      <c r="K18" s="181"/>
      <c r="L18" s="181"/>
      <c r="M18" s="181"/>
      <c r="N18" s="181"/>
      <c r="O18" s="181"/>
    </row>
    <row r="19" spans="4:23" ht="15.75">
      <c r="D19" s="59"/>
      <c r="E19" s="61" t="s">
        <v>77</v>
      </c>
      <c r="F19" s="65" t="s">
        <v>179</v>
      </c>
      <c r="G19" s="64"/>
      <c r="H19" s="179" t="str">
        <f>"ANY PORT (S) IN "&amp;_xlfn.XLOOKUP(A1,'Contract Data'!C:C,'Contract Data'!V:V)</f>
        <v>ANY PORT (S) IN PAKISTAN</v>
      </c>
      <c r="I19" s="179"/>
      <c r="J19" s="179"/>
      <c r="K19" s="179"/>
      <c r="L19" s="179"/>
      <c r="M19" s="179"/>
      <c r="N19" s="179"/>
      <c r="O19" s="181"/>
    </row>
    <row r="20" spans="4:23" ht="15" customHeight="1">
      <c r="D20" s="59"/>
      <c r="E20" s="61" t="s">
        <v>78</v>
      </c>
      <c r="F20" s="65" t="s">
        <v>178</v>
      </c>
      <c r="G20" s="64"/>
      <c r="H20" s="182" t="str">
        <f>_xlfn.XLOOKUP(A1,'Contract Data'!C:C,'Contract Data'!Z:Z)&amp;", "&amp;_xlfn.XLOOKUP(A1,'Contract Data'!C:C,'Contract Data'!W:W)&amp;_xlfn.XLOOKUP(A1,'Contract Data'!C:C,'Contract Data'!X:X)&amp;", "&amp;_xlfn.XLOOKUP(A1,'Contract Data'!C:C,'Contract Data'!L:L)</f>
        <v>CIF, NINGBO,, CHINA</v>
      </c>
      <c r="I20" s="182"/>
      <c r="J20" s="182"/>
      <c r="K20" s="182"/>
      <c r="L20" s="182"/>
      <c r="M20" s="182"/>
      <c r="N20" s="182"/>
      <c r="O20" s="182"/>
      <c r="P20" s="55"/>
      <c r="Q20" s="55"/>
      <c r="R20" s="55"/>
    </row>
    <row r="21" spans="4:23" ht="36" customHeight="1">
      <c r="D21" s="59"/>
      <c r="E21" s="63" t="s">
        <v>79</v>
      </c>
      <c r="F21" s="141" t="s">
        <v>80</v>
      </c>
      <c r="G21" s="141"/>
      <c r="H21" s="182" t="str">
        <f>_xlfn.XLOOKUP(A1,'Contract Data'!C:C,'Contract Data'!AA:AA)&amp;" MT "&amp;_xlfn.XLOOKUP(A1,'Contract Data'!C:C,'Contract Data'!AB:AB)&amp;" (SELLER’S OPTION) IN "&amp;_xlfn.XLOOKUP(A1,'Contract Data'!C:C,'Contract Data'!AC:AC)&amp;" IN "&amp;_xlfn.XLOOKUP(A1,'Contract Data'!C:C,'Contract Data'!AD:AD)&amp;" X "&amp;_xlfn.XLOOKUP(A1,'Contract Data'!C:C,'Contract Data'!AE:AE)&amp;" CONTAINER/S"</f>
        <v>100 MT +/-10% (SELLER’S OPTION) IN LOSSE IN 5 X 20 CONTAINER/S</v>
      </c>
      <c r="I21" s="182"/>
      <c r="J21" s="182"/>
      <c r="K21" s="182"/>
      <c r="L21" s="182"/>
      <c r="M21" s="182"/>
      <c r="N21" s="182"/>
      <c r="O21" s="182"/>
    </row>
    <row r="22" spans="4:23" ht="15.75">
      <c r="D22" s="59"/>
      <c r="E22" s="61"/>
      <c r="F22" s="66"/>
      <c r="G22" s="64"/>
      <c r="H22" s="58"/>
      <c r="I22" s="60"/>
      <c r="J22" s="60"/>
      <c r="K22" s="60"/>
      <c r="L22" s="60"/>
      <c r="M22" s="60"/>
      <c r="N22" s="60"/>
      <c r="O22" s="60"/>
    </row>
    <row r="23" spans="4:23" ht="32.1" customHeight="1">
      <c r="D23" s="63" t="s">
        <v>6</v>
      </c>
      <c r="E23" s="80" t="s">
        <v>110</v>
      </c>
      <c r="F23" s="60"/>
      <c r="G23" s="60"/>
      <c r="H23" s="182" t="str">
        <f>_xlfn.XLOOKUP(A1,'Contract Data'!C:C,'Contract Data'!AF:AF)&amp;" AGAINST FOLLOWING DOCUMENTS"</f>
        <v>100% CAD THROUGH BANK AGAINST FOLLOWING DOCUMENTS</v>
      </c>
      <c r="I23" s="182"/>
      <c r="J23" s="182"/>
      <c r="K23" s="182"/>
      <c r="L23" s="182"/>
      <c r="M23" s="182"/>
      <c r="N23" s="182"/>
      <c r="O23" s="182"/>
    </row>
    <row r="24" spans="4:23" ht="39.950000000000003" customHeight="1">
      <c r="D24" s="59"/>
      <c r="E24" s="139" t="str">
        <f>_xlfn.XLOOKUP(A1,'Contract Data'!C:C,'Contract Data'!AG:AG)</f>
        <v>1) FULL SET (3/3) ORIGINAL BILL OF LADING B/L TO SHOW "FREIGHT PREPAID" 2) COMMERCIAL INVOICE 3) PACKING LIST 4) CERTIFICATE OF ORIGIN 5) INSURANCE CERTIFICATE.</v>
      </c>
      <c r="F24" s="139"/>
      <c r="G24" s="139"/>
      <c r="H24" s="139"/>
      <c r="I24" s="139"/>
      <c r="J24" s="139"/>
      <c r="K24" s="139"/>
      <c r="L24" s="139"/>
      <c r="M24" s="139"/>
      <c r="N24" s="139"/>
      <c r="O24" s="139"/>
      <c r="P24" s="50"/>
    </row>
    <row r="25" spans="4:23" ht="15.75">
      <c r="D25" s="59"/>
      <c r="E25" s="61"/>
      <c r="F25" s="66"/>
      <c r="G25" s="64"/>
      <c r="H25" s="58"/>
      <c r="I25" s="60"/>
      <c r="J25" s="60"/>
      <c r="K25" s="60"/>
      <c r="L25" s="60"/>
      <c r="M25" s="60"/>
      <c r="N25" s="60"/>
      <c r="O25" s="60"/>
    </row>
    <row r="26" spans="4:23" ht="33.75" customHeight="1">
      <c r="D26" s="63" t="s">
        <v>7</v>
      </c>
      <c r="E26" s="182" t="str">
        <f>"PRICE: "&amp;_xlfn.XLOOKUP('CHINA (QP)'!A1,'Contract Data'!C:C,'Contract Data'!AH:AH)&amp;",TO BE FIXED BY BUYER, EITHER ON OFFICIAL SETTLEMENT OR ON RUNNING SCREEN OR GTC WITHIN SPECIFIED Q/P X "&amp;_xlfn.XLOOKUP(A1,'Contract Data'!C:C,'Contract Data'!AI:AI)&amp;" %"&amp;" "&amp;_xlfn.XLOOKUP(A1,'Contract Data'!C:C,'Contract Data'!Z:Z)&amp;" "&amp;_xlfn.XLOOKUP(A1,'Contract Data'!C:C,'Contract Data'!W:W)&amp;_xlfn.XLOOKUP(A1,'Contract Data'!C:C,'Contract Data'!X:X)&amp;", "&amp;_xlfn.XLOOKUP(A1,'Contract Data'!C:C,'Contract Data'!L:L)</f>
        <v>PRICE: 3 MONTHS CU LME IN US$ ,TO BE FIXED BY BUYER, EITHER ON OFFICIAL SETTLEMENT OR ON RUNNING SCREEN OR GTC WITHIN SPECIFIED Q/P X 96.85 % CIF NINGBO,, CHINA</v>
      </c>
      <c r="F26" s="182"/>
      <c r="G26" s="182"/>
      <c r="H26" s="182"/>
      <c r="I26" s="182"/>
      <c r="J26" s="182"/>
      <c r="K26" s="182"/>
      <c r="L26" s="182"/>
      <c r="M26" s="182"/>
      <c r="N26" s="182"/>
      <c r="O26" s="182"/>
      <c r="P26" s="49"/>
      <c r="Q26" s="49"/>
      <c r="R26" s="49"/>
      <c r="S26" s="49"/>
      <c r="T26" s="49"/>
    </row>
    <row r="27" spans="4:23" ht="15.75">
      <c r="D27" s="59"/>
      <c r="E27" s="61"/>
      <c r="F27" s="66"/>
      <c r="G27" s="64"/>
      <c r="H27" s="58"/>
      <c r="I27" s="60"/>
      <c r="J27" s="60"/>
      <c r="K27" s="60"/>
      <c r="L27" s="60"/>
      <c r="M27" s="60"/>
      <c r="N27" s="60"/>
      <c r="O27" s="60"/>
      <c r="U27" s="84"/>
      <c r="W27" s="84"/>
    </row>
    <row r="28" spans="4:23" ht="15.75">
      <c r="D28" s="61" t="s">
        <v>8</v>
      </c>
      <c r="E28" s="184" t="s">
        <v>104</v>
      </c>
      <c r="F28" s="184"/>
      <c r="G28" s="184"/>
      <c r="H28" s="184"/>
      <c r="I28" s="184"/>
      <c r="J28" s="184"/>
      <c r="K28" s="184"/>
      <c r="L28" s="184"/>
      <c r="M28" s="184"/>
      <c r="N28" s="184"/>
      <c r="O28" s="184"/>
    </row>
    <row r="29" spans="4:23" ht="15.75">
      <c r="D29" s="61"/>
      <c r="E29" s="67"/>
      <c r="F29" s="67"/>
      <c r="G29" s="67"/>
      <c r="H29" s="67"/>
      <c r="I29" s="67"/>
      <c r="J29" s="67"/>
      <c r="K29" s="67"/>
      <c r="L29" s="67"/>
      <c r="M29" s="67"/>
      <c r="N29" s="67"/>
      <c r="O29" s="67"/>
    </row>
    <row r="30" spans="4:23" ht="52.5" customHeight="1">
      <c r="D30" s="63" t="s">
        <v>9</v>
      </c>
      <c r="E30" s="140" t="s">
        <v>105</v>
      </c>
      <c r="F30" s="140"/>
      <c r="G30" s="140"/>
      <c r="H30" s="140"/>
      <c r="I30" s="140"/>
      <c r="J30" s="140"/>
      <c r="K30" s="140"/>
      <c r="L30" s="140"/>
      <c r="M30" s="140"/>
      <c r="N30" s="140"/>
      <c r="O30" s="140"/>
    </row>
    <row r="31" spans="4:23" ht="15.75">
      <c r="D31" s="61"/>
      <c r="E31" s="67"/>
      <c r="F31" s="67"/>
      <c r="G31" s="67"/>
      <c r="H31" s="67"/>
      <c r="I31" s="67"/>
      <c r="J31" s="67"/>
      <c r="K31" s="67"/>
      <c r="L31" s="67"/>
      <c r="M31" s="67"/>
      <c r="N31" s="67"/>
      <c r="O31" s="67"/>
    </row>
    <row r="32" spans="4:23" ht="69" customHeight="1">
      <c r="D32" s="63" t="s">
        <v>10</v>
      </c>
      <c r="E32" s="140" t="s">
        <v>19</v>
      </c>
      <c r="F32" s="140"/>
      <c r="G32" s="140"/>
      <c r="H32" s="140"/>
      <c r="I32" s="140"/>
      <c r="J32" s="140"/>
      <c r="K32" s="140"/>
      <c r="L32" s="140"/>
      <c r="M32" s="140"/>
      <c r="N32" s="140"/>
      <c r="O32" s="140"/>
    </row>
    <row r="33" spans="4:15" ht="89.25" customHeight="1">
      <c r="D33" s="63" t="s">
        <v>11</v>
      </c>
      <c r="E33" s="140" t="s">
        <v>106</v>
      </c>
      <c r="F33" s="140"/>
      <c r="G33" s="140"/>
      <c r="H33" s="140"/>
      <c r="I33" s="140"/>
      <c r="J33" s="140"/>
      <c r="K33" s="140"/>
      <c r="L33" s="140"/>
      <c r="M33" s="140"/>
      <c r="N33" s="140"/>
      <c r="O33" s="140"/>
    </row>
    <row r="34" spans="4:15" ht="117" customHeight="1">
      <c r="D34" s="63" t="s">
        <v>24</v>
      </c>
      <c r="E34" s="140" t="s">
        <v>21</v>
      </c>
      <c r="F34" s="140"/>
      <c r="G34" s="140"/>
      <c r="H34" s="140"/>
      <c r="I34" s="140"/>
      <c r="J34" s="140"/>
      <c r="K34" s="140"/>
      <c r="L34" s="140"/>
      <c r="M34" s="140"/>
      <c r="N34" s="140"/>
      <c r="O34" s="140"/>
    </row>
    <row r="36" spans="4:15" ht="15">
      <c r="D36" s="48"/>
    </row>
    <row r="37" spans="4:15" ht="15.75">
      <c r="D37" s="70" t="s">
        <v>12</v>
      </c>
      <c r="E37" s="60"/>
      <c r="F37" s="60"/>
      <c r="G37" s="60"/>
      <c r="H37" s="71"/>
      <c r="I37" s="71"/>
      <c r="J37" s="60"/>
      <c r="K37" s="60"/>
      <c r="L37" s="60"/>
      <c r="M37" s="60"/>
      <c r="N37" s="60"/>
      <c r="O37" s="60"/>
    </row>
    <row r="38" spans="4:15" ht="15.75">
      <c r="D38" s="41" t="s">
        <v>96</v>
      </c>
      <c r="E38" s="41"/>
      <c r="F38" s="60"/>
      <c r="G38" s="41" t="s">
        <v>86</v>
      </c>
      <c r="H38" s="71"/>
      <c r="I38" s="71"/>
      <c r="J38" s="60"/>
      <c r="K38" s="60"/>
      <c r="L38" s="60"/>
      <c r="M38" s="60"/>
      <c r="N38" s="60"/>
      <c r="O38" s="60"/>
    </row>
    <row r="39" spans="4:15" ht="15.75">
      <c r="D39" s="41" t="s">
        <v>97</v>
      </c>
      <c r="E39" s="41"/>
      <c r="F39" s="60"/>
      <c r="G39" s="41" t="s">
        <v>98</v>
      </c>
      <c r="H39" s="71"/>
      <c r="I39" s="71"/>
      <c r="J39" s="60"/>
      <c r="K39" s="60"/>
      <c r="L39" s="60"/>
      <c r="M39" s="60"/>
      <c r="N39" s="60"/>
      <c r="O39" s="60"/>
    </row>
    <row r="40" spans="4:15" ht="15.75">
      <c r="D40" s="41" t="s">
        <v>99</v>
      </c>
      <c r="E40" s="41"/>
      <c r="F40" s="60"/>
      <c r="G40" s="41" t="s">
        <v>100</v>
      </c>
      <c r="H40" s="71"/>
      <c r="I40" s="60"/>
      <c r="J40" s="60"/>
      <c r="K40" s="60"/>
      <c r="L40" s="60"/>
      <c r="M40" s="60"/>
      <c r="N40" s="60"/>
      <c r="O40" s="60"/>
    </row>
    <row r="41" spans="4:15" ht="15.75">
      <c r="D41" s="41" t="s">
        <v>85</v>
      </c>
      <c r="E41" s="41"/>
      <c r="F41" s="60"/>
      <c r="G41" s="41" t="s">
        <v>101</v>
      </c>
      <c r="H41" s="72"/>
      <c r="I41" s="60"/>
      <c r="J41" s="60"/>
      <c r="K41" s="60"/>
      <c r="L41" s="60"/>
      <c r="M41" s="60"/>
      <c r="N41" s="60"/>
      <c r="O41" s="60"/>
    </row>
    <row r="42" spans="4:15" ht="15">
      <c r="D42" s="71"/>
      <c r="E42" s="60"/>
      <c r="F42" s="60"/>
      <c r="G42" s="60"/>
      <c r="H42" s="72"/>
      <c r="I42" s="60"/>
      <c r="J42" s="60"/>
      <c r="K42" s="60"/>
      <c r="L42" s="60"/>
      <c r="M42" s="60"/>
      <c r="N42" s="60"/>
      <c r="O42" s="60"/>
    </row>
    <row r="43" spans="4:15" ht="15.75">
      <c r="D43" s="142" t="s">
        <v>13</v>
      </c>
      <c r="E43" s="142"/>
      <c r="F43" s="142"/>
      <c r="G43" s="142"/>
      <c r="H43" s="142"/>
      <c r="I43" s="142"/>
      <c r="J43" s="142"/>
      <c r="K43" s="142"/>
      <c r="L43" s="142"/>
      <c r="M43" s="142"/>
      <c r="N43" s="142"/>
      <c r="O43" s="142"/>
    </row>
    <row r="44" spans="4:15" ht="15.75">
      <c r="D44" s="142" t="s">
        <v>14</v>
      </c>
      <c r="E44" s="142"/>
      <c r="F44" s="142"/>
      <c r="G44" s="142"/>
      <c r="H44" s="142"/>
      <c r="I44" s="142"/>
      <c r="J44" s="142"/>
      <c r="K44" s="142"/>
      <c r="L44" s="142"/>
      <c r="M44" s="142"/>
      <c r="N44" s="142"/>
      <c r="O44" s="142"/>
    </row>
    <row r="45" spans="4:15" ht="15">
      <c r="D45" s="48"/>
    </row>
    <row r="46" spans="4:15" ht="15">
      <c r="D46" s="48"/>
    </row>
    <row r="47" spans="4:15" ht="15">
      <c r="D47" s="48"/>
    </row>
    <row r="48" spans="4:15" ht="15">
      <c r="D48" s="48"/>
    </row>
    <row r="49" spans="4:15" ht="15">
      <c r="D49" s="48"/>
    </row>
    <row r="50" spans="4:15" ht="15">
      <c r="D50" s="48"/>
    </row>
    <row r="51" spans="4:15" ht="15">
      <c r="D51" s="48"/>
    </row>
    <row r="52" spans="4:15" ht="15">
      <c r="D52" s="48"/>
    </row>
    <row r="53" spans="4:15" ht="15.75">
      <c r="D53" s="59" t="str">
        <f>D8</f>
        <v>S/AGFZE/CU/NC/004/2026-27</v>
      </c>
      <c r="E53" s="60"/>
      <c r="F53" s="59"/>
      <c r="G53" s="59"/>
      <c r="H53" s="59"/>
      <c r="I53" s="59"/>
      <c r="J53" s="59"/>
      <c r="K53" s="59"/>
      <c r="L53" s="59"/>
      <c r="M53" s="59"/>
      <c r="N53" s="59"/>
      <c r="O53" s="85" t="str">
        <f>O8</f>
        <v>DATE: 06/06/2026</v>
      </c>
    </row>
    <row r="54" spans="4:15" ht="15.75">
      <c r="D54" s="59"/>
      <c r="E54" s="60"/>
      <c r="F54" s="60"/>
      <c r="G54" s="60"/>
      <c r="H54" s="60"/>
      <c r="I54" s="60"/>
      <c r="J54" s="60"/>
      <c r="K54" s="60"/>
      <c r="L54" s="60"/>
      <c r="M54" s="60"/>
      <c r="N54" s="60"/>
      <c r="O54" s="60"/>
    </row>
    <row r="55" spans="4:15" ht="81.75" customHeight="1">
      <c r="D55" s="59"/>
      <c r="E55" s="139" t="s">
        <v>3</v>
      </c>
      <c r="F55" s="139"/>
      <c r="G55" s="139"/>
      <c r="H55" s="139"/>
      <c r="I55" s="139"/>
      <c r="J55" s="139"/>
      <c r="K55" s="139"/>
      <c r="L55" s="139"/>
      <c r="M55" s="139"/>
      <c r="N55" s="139"/>
      <c r="O55" s="139"/>
    </row>
    <row r="56" spans="4:15" ht="49.5" customHeight="1">
      <c r="D56" s="59"/>
      <c r="E56" s="139" t="s">
        <v>22</v>
      </c>
      <c r="F56" s="139"/>
      <c r="G56" s="139"/>
      <c r="H56" s="139"/>
      <c r="I56" s="139"/>
      <c r="J56" s="139"/>
      <c r="K56" s="139"/>
      <c r="L56" s="139"/>
      <c r="M56" s="139"/>
      <c r="N56" s="139"/>
      <c r="O56" s="139"/>
    </row>
    <row r="57" spans="4:15" ht="48" customHeight="1">
      <c r="D57" s="60"/>
      <c r="E57" s="139" t="s">
        <v>75</v>
      </c>
      <c r="F57" s="139"/>
      <c r="G57" s="139"/>
      <c r="H57" s="139"/>
      <c r="I57" s="139"/>
      <c r="J57" s="139"/>
      <c r="K57" s="139"/>
      <c r="L57" s="139"/>
      <c r="M57" s="139"/>
      <c r="N57" s="139"/>
      <c r="O57" s="139"/>
    </row>
    <row r="58" spans="4:15" ht="16.5" customHeight="1">
      <c r="D58" s="60"/>
      <c r="E58" s="36"/>
      <c r="F58" s="36"/>
      <c r="G58" s="36"/>
      <c r="H58" s="36"/>
      <c r="I58" s="36"/>
      <c r="J58" s="36"/>
      <c r="K58" s="36"/>
      <c r="L58" s="36"/>
      <c r="M58" s="36"/>
      <c r="N58" s="36"/>
      <c r="O58" s="36"/>
    </row>
    <row r="59" spans="4:15" ht="51.75" customHeight="1">
      <c r="D59" s="63" t="s">
        <v>26</v>
      </c>
      <c r="E59" s="139" t="s">
        <v>25</v>
      </c>
      <c r="F59" s="139"/>
      <c r="G59" s="139"/>
      <c r="H59" s="139"/>
      <c r="I59" s="139"/>
      <c r="J59" s="139"/>
      <c r="K59" s="139"/>
      <c r="L59" s="139"/>
      <c r="M59" s="139"/>
      <c r="N59" s="139"/>
      <c r="O59" s="139"/>
    </row>
    <row r="60" spans="4:15" ht="16.5" customHeight="1">
      <c r="D60" s="60"/>
      <c r="E60" s="36"/>
      <c r="F60" s="36"/>
      <c r="G60" s="36"/>
      <c r="H60" s="36"/>
      <c r="I60" s="36"/>
      <c r="J60" s="36"/>
      <c r="K60" s="36"/>
      <c r="L60" s="36"/>
      <c r="M60" s="36"/>
      <c r="N60" s="36"/>
      <c r="O60" s="36"/>
    </row>
    <row r="61" spans="4:15" ht="15" customHeight="1">
      <c r="D61" s="63" t="s">
        <v>28</v>
      </c>
      <c r="E61" s="139" t="s">
        <v>27</v>
      </c>
      <c r="F61" s="139"/>
      <c r="G61" s="139"/>
      <c r="H61" s="139"/>
      <c r="I61" s="139"/>
      <c r="J61" s="139"/>
      <c r="K61" s="139"/>
      <c r="L61" s="139"/>
      <c r="M61" s="139"/>
      <c r="N61" s="139"/>
      <c r="O61" s="139"/>
    </row>
    <row r="62" spans="4:15" ht="16.5" customHeight="1">
      <c r="D62" s="60"/>
      <c r="E62" s="36"/>
      <c r="F62" s="36"/>
      <c r="G62" s="36"/>
      <c r="H62" s="36"/>
      <c r="I62" s="36"/>
      <c r="J62" s="36"/>
      <c r="K62" s="36"/>
      <c r="L62" s="36"/>
      <c r="M62" s="36"/>
      <c r="N62" s="36"/>
      <c r="O62" s="36"/>
    </row>
    <row r="63" spans="4:15" ht="15" customHeight="1">
      <c r="D63" s="63" t="s">
        <v>89</v>
      </c>
      <c r="E63" s="139" t="str">
        <f>"WEIGHT SHORTAGE WILL NOT BE ACCEPTED LESS THAN "&amp;_xlfn.XLOOKUP(A1,'Contract Data'!C:C,'Contract Data'!AK:AK)&amp;", MORE THAN "&amp;_xlfn.XLOOKUP(A1,'Contract Data'!C:C,'Contract Data'!AK:AK)&amp;" WILL BE CLAIMED"</f>
        <v>WEIGHT SHORTAGE WILL NOT BE ACCEPTED LESS THAN 0.50%, MORE THAN 0.50% WILL BE CLAIMED</v>
      </c>
      <c r="F63" s="139"/>
      <c r="G63" s="139"/>
      <c r="H63" s="139"/>
      <c r="I63" s="139"/>
      <c r="J63" s="139"/>
      <c r="K63" s="139"/>
      <c r="L63" s="139"/>
      <c r="M63" s="139"/>
      <c r="N63" s="139"/>
      <c r="O63" s="139"/>
    </row>
    <row r="64" spans="4:15" ht="15" customHeight="1">
      <c r="D64" s="63"/>
      <c r="E64" s="36"/>
      <c r="F64" s="36"/>
      <c r="G64" s="36"/>
      <c r="H64" s="36"/>
      <c r="I64" s="36"/>
      <c r="J64" s="36"/>
      <c r="K64" s="36"/>
      <c r="L64" s="36"/>
      <c r="M64" s="36"/>
      <c r="N64" s="36"/>
      <c r="O64" s="36"/>
    </row>
    <row r="65" spans="4:15" ht="51" customHeight="1">
      <c r="D65" s="63" t="s">
        <v>90</v>
      </c>
      <c r="E65" s="143" t="s">
        <v>30</v>
      </c>
      <c r="F65" s="143"/>
      <c r="G65" s="143"/>
      <c r="H65" s="143"/>
      <c r="I65" s="143"/>
      <c r="J65" s="143"/>
      <c r="K65" s="143"/>
      <c r="L65" s="143"/>
      <c r="M65" s="143"/>
      <c r="N65" s="143"/>
      <c r="O65" s="143"/>
    </row>
    <row r="66" spans="4:15" ht="16.5" customHeight="1">
      <c r="D66" s="60"/>
      <c r="E66" s="36"/>
      <c r="F66" s="36"/>
      <c r="G66" s="36"/>
      <c r="H66" s="36"/>
      <c r="I66" s="36"/>
      <c r="J66" s="36"/>
      <c r="K66" s="36"/>
      <c r="L66" s="36"/>
      <c r="M66" s="36"/>
      <c r="N66" s="36"/>
      <c r="O66" s="36"/>
    </row>
    <row r="67" spans="4:15" ht="99" customHeight="1">
      <c r="D67" s="63" t="s">
        <v>91</v>
      </c>
      <c r="E67" s="139" t="s">
        <v>31</v>
      </c>
      <c r="F67" s="139"/>
      <c r="G67" s="139"/>
      <c r="H67" s="139"/>
      <c r="I67" s="139"/>
      <c r="J67" s="139"/>
      <c r="K67" s="139"/>
      <c r="L67" s="139"/>
      <c r="M67" s="139"/>
      <c r="N67" s="139"/>
      <c r="O67" s="139"/>
    </row>
    <row r="68" spans="4:15" ht="18.75" customHeight="1">
      <c r="D68" s="63"/>
      <c r="E68" s="36"/>
      <c r="F68" s="36"/>
      <c r="G68" s="36"/>
      <c r="H68" s="36"/>
      <c r="I68" s="36"/>
      <c r="J68" s="36"/>
      <c r="K68" s="36"/>
      <c r="L68" s="36"/>
      <c r="M68" s="36"/>
      <c r="N68" s="36"/>
      <c r="O68" s="36"/>
    </row>
    <row r="69" spans="4:15" ht="15">
      <c r="D69" s="60"/>
      <c r="E69" s="68"/>
      <c r="F69" s="60"/>
      <c r="G69" s="60"/>
      <c r="H69" s="60"/>
      <c r="I69" s="60"/>
      <c r="J69" s="60"/>
      <c r="K69" s="60"/>
      <c r="L69" s="60"/>
      <c r="M69" s="60"/>
      <c r="N69" s="60"/>
      <c r="O69" s="60"/>
    </row>
    <row r="70" spans="4:15" ht="15.75">
      <c r="D70" s="32" t="s">
        <v>92</v>
      </c>
      <c r="E70" s="60"/>
      <c r="F70" s="60"/>
      <c r="G70" s="60"/>
      <c r="H70" s="60"/>
      <c r="I70" s="60"/>
      <c r="J70" s="60"/>
      <c r="K70" s="60"/>
      <c r="L70" s="60"/>
      <c r="M70" s="60"/>
      <c r="N70" s="32" t="s">
        <v>94</v>
      </c>
      <c r="O70" s="60"/>
    </row>
    <row r="71" spans="4:15" ht="15">
      <c r="D71" s="69"/>
      <c r="E71" s="60"/>
      <c r="F71" s="60"/>
      <c r="G71" s="60"/>
      <c r="H71" s="60"/>
      <c r="I71" s="60"/>
      <c r="J71" s="60"/>
      <c r="K71" s="60"/>
      <c r="L71" s="60"/>
      <c r="M71" s="60"/>
      <c r="N71" s="60"/>
      <c r="O71" s="60"/>
    </row>
    <row r="72" spans="4:15" ht="38.1" customHeight="1">
      <c r="D72" s="81" t="s">
        <v>33</v>
      </c>
      <c r="E72" s="60"/>
      <c r="F72" s="60"/>
      <c r="G72" s="60"/>
      <c r="H72" s="60"/>
      <c r="I72" s="60"/>
      <c r="J72" s="60"/>
      <c r="K72" s="60"/>
      <c r="L72" s="60"/>
      <c r="M72" s="60"/>
      <c r="N72" s="144" t="str">
        <f>"FOR "&amp;D10</f>
        <v>FOR NINGBO CIMEI IMPORT &amp; EXPORT CO., LTD</v>
      </c>
      <c r="O72" s="144"/>
    </row>
    <row r="73" spans="4:15" ht="15">
      <c r="D73" s="69"/>
      <c r="E73" s="60"/>
      <c r="F73" s="60"/>
      <c r="G73" s="60"/>
      <c r="H73" s="60"/>
      <c r="I73" s="60"/>
      <c r="J73" s="60"/>
      <c r="K73" s="60"/>
      <c r="L73" s="60"/>
      <c r="M73" s="60"/>
      <c r="N73" s="60"/>
      <c r="O73" s="60"/>
    </row>
    <row r="74" spans="4:15" ht="15">
      <c r="D74" s="69"/>
      <c r="E74" s="60"/>
      <c r="F74" s="60"/>
      <c r="G74" s="60"/>
      <c r="H74" s="60"/>
      <c r="I74" s="60"/>
      <c r="J74" s="60"/>
      <c r="K74" s="60"/>
      <c r="L74" s="60"/>
      <c r="M74" s="60"/>
      <c r="N74" s="60"/>
      <c r="O74" s="60"/>
    </row>
    <row r="75" spans="4:15" ht="15">
      <c r="D75" s="69"/>
      <c r="E75" s="60"/>
      <c r="F75" s="60"/>
      <c r="G75" s="60"/>
      <c r="H75" s="60"/>
      <c r="I75" s="60"/>
      <c r="J75" s="60"/>
      <c r="K75" s="60"/>
      <c r="L75" s="60"/>
      <c r="M75" s="60"/>
      <c r="N75" s="60"/>
      <c r="O75" s="60"/>
    </row>
    <row r="76" spans="4:15" ht="15.75">
      <c r="D76" s="32" t="s">
        <v>93</v>
      </c>
      <c r="E76" s="60"/>
      <c r="F76" s="60"/>
      <c r="G76" s="60"/>
      <c r="H76" s="60"/>
      <c r="I76" s="60"/>
      <c r="J76" s="60"/>
      <c r="K76" s="60"/>
      <c r="L76" s="60"/>
      <c r="M76" s="60"/>
      <c r="N76" s="32" t="s">
        <v>95</v>
      </c>
      <c r="O76" s="60"/>
    </row>
    <row r="77" spans="4:15" ht="15">
      <c r="D77" s="60"/>
      <c r="E77" s="60"/>
      <c r="F77" s="60"/>
      <c r="G77" s="60"/>
      <c r="H77" s="60"/>
      <c r="I77" s="60"/>
      <c r="J77" s="60"/>
      <c r="K77" s="60"/>
      <c r="L77" s="60"/>
      <c r="M77" s="60"/>
      <c r="N77" s="60"/>
      <c r="O77" s="60"/>
    </row>
    <row r="90" spans="4:15" ht="15">
      <c r="D90" s="48"/>
    </row>
    <row r="91" spans="4:15" ht="15.75">
      <c r="D91" s="70" t="s">
        <v>12</v>
      </c>
      <c r="E91" s="60"/>
      <c r="F91" s="60"/>
      <c r="G91" s="60"/>
      <c r="H91" s="71"/>
      <c r="I91" s="71"/>
      <c r="J91" s="60"/>
      <c r="K91" s="60"/>
      <c r="L91" s="60"/>
      <c r="M91" s="60"/>
      <c r="N91" s="60"/>
      <c r="O91" s="60"/>
    </row>
    <row r="92" spans="4:15" ht="15.75">
      <c r="D92" s="41" t="s">
        <v>96</v>
      </c>
      <c r="E92" s="41"/>
      <c r="F92" s="60"/>
      <c r="G92" s="41" t="s">
        <v>86</v>
      </c>
      <c r="H92" s="71"/>
      <c r="I92" s="71"/>
      <c r="J92" s="60"/>
      <c r="K92" s="60"/>
      <c r="L92" s="60"/>
      <c r="M92" s="60"/>
      <c r="N92" s="60"/>
      <c r="O92" s="60"/>
    </row>
    <row r="93" spans="4:15" ht="15.75">
      <c r="D93" s="41" t="s">
        <v>97</v>
      </c>
      <c r="E93" s="41"/>
      <c r="F93" s="60"/>
      <c r="G93" s="41" t="s">
        <v>98</v>
      </c>
      <c r="H93" s="71"/>
      <c r="I93" s="71"/>
      <c r="J93" s="60"/>
      <c r="K93" s="60"/>
      <c r="L93" s="60"/>
      <c r="M93" s="60"/>
      <c r="N93" s="60"/>
      <c r="O93" s="60"/>
    </row>
    <row r="94" spans="4:15" ht="15.75">
      <c r="D94" s="41" t="s">
        <v>99</v>
      </c>
      <c r="E94" s="41"/>
      <c r="F94" s="60"/>
      <c r="G94" s="41" t="s">
        <v>100</v>
      </c>
      <c r="H94" s="71"/>
      <c r="I94" s="60"/>
      <c r="J94" s="60"/>
      <c r="K94" s="60"/>
      <c r="L94" s="60"/>
      <c r="M94" s="60"/>
      <c r="N94" s="60"/>
      <c r="O94" s="60"/>
    </row>
    <row r="95" spans="4:15" ht="15.75">
      <c r="D95" s="41" t="s">
        <v>85</v>
      </c>
      <c r="E95" s="41"/>
      <c r="F95" s="60"/>
      <c r="G95" s="41" t="s">
        <v>101</v>
      </c>
      <c r="H95" s="72"/>
      <c r="I95" s="60"/>
      <c r="J95" s="60"/>
      <c r="K95" s="60"/>
      <c r="L95" s="60"/>
      <c r="M95" s="60"/>
      <c r="N95" s="60"/>
      <c r="O95" s="60"/>
    </row>
    <row r="96" spans="4:15" ht="15">
      <c r="D96" s="71"/>
      <c r="E96" s="60"/>
      <c r="F96" s="60"/>
      <c r="G96" s="60"/>
      <c r="H96" s="72"/>
      <c r="I96" s="60"/>
      <c r="J96" s="60"/>
      <c r="K96" s="60"/>
      <c r="L96" s="60"/>
      <c r="M96" s="60"/>
      <c r="N96" s="60"/>
      <c r="O96" s="60"/>
    </row>
    <row r="97" spans="4:15" ht="15.75">
      <c r="D97" s="142" t="s">
        <v>13</v>
      </c>
      <c r="E97" s="142"/>
      <c r="F97" s="142"/>
      <c r="G97" s="142"/>
      <c r="H97" s="142"/>
      <c r="I97" s="142"/>
      <c r="J97" s="142"/>
      <c r="K97" s="142"/>
      <c r="L97" s="142"/>
      <c r="M97" s="142"/>
      <c r="N97" s="142"/>
      <c r="O97" s="142"/>
    </row>
    <row r="98" spans="4:15" ht="15.75">
      <c r="D98" s="142" t="s">
        <v>14</v>
      </c>
      <c r="E98" s="142"/>
      <c r="F98" s="142"/>
      <c r="G98" s="142"/>
      <c r="H98" s="142"/>
      <c r="I98" s="142"/>
      <c r="J98" s="142"/>
      <c r="K98" s="142"/>
      <c r="L98" s="142"/>
      <c r="M98" s="142"/>
      <c r="N98" s="142"/>
      <c r="O98" s="142"/>
    </row>
  </sheetData>
  <mergeCells count="32">
    <mergeCell ref="E63:O63"/>
    <mergeCell ref="E65:O65"/>
    <mergeCell ref="E67:O67"/>
    <mergeCell ref="D97:O97"/>
    <mergeCell ref="D98:O98"/>
    <mergeCell ref="N72:O72"/>
    <mergeCell ref="F16:O16"/>
    <mergeCell ref="D44:O44"/>
    <mergeCell ref="E55:O55"/>
    <mergeCell ref="E56:O56"/>
    <mergeCell ref="E57:O57"/>
    <mergeCell ref="H20:O20"/>
    <mergeCell ref="F21:G21"/>
    <mergeCell ref="H21:O21"/>
    <mergeCell ref="H23:O23"/>
    <mergeCell ref="E24:O24"/>
    <mergeCell ref="E26:O26"/>
    <mergeCell ref="F17:O17"/>
    <mergeCell ref="H19:N19"/>
    <mergeCell ref="E59:O59"/>
    <mergeCell ref="E61:O61"/>
    <mergeCell ref="E28:O28"/>
    <mergeCell ref="E30:O30"/>
    <mergeCell ref="E32:O32"/>
    <mergeCell ref="E33:O33"/>
    <mergeCell ref="E34:O34"/>
    <mergeCell ref="D43:O43"/>
    <mergeCell ref="D6:O6"/>
    <mergeCell ref="D8:H8"/>
    <mergeCell ref="D13:M13"/>
    <mergeCell ref="D12:M12"/>
    <mergeCell ref="D11:L11"/>
  </mergeCells>
  <hyperlinks>
    <hyperlink ref="G41" r:id="rId1" xr:uid="{ED0BD016-BE26-4D98-806A-0529E3E63F2C}"/>
    <hyperlink ref="G95" r:id="rId2" xr:uid="{36D95FEA-BA3C-463D-A424-0D257197A435}"/>
  </hyperlinks>
  <pageMargins left="0.7" right="0.34" top="0.53" bottom="0.47" header="0.3" footer="0.3"/>
  <pageSetup scale="61"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A8FB0-E35D-4713-B13D-133EF327F82E}">
  <sheetPr>
    <pageSetUpPr fitToPage="1"/>
  </sheetPr>
  <dimension ref="A1:T96"/>
  <sheetViews>
    <sheetView tabSelected="1" view="pageBreakPreview" zoomScale="85" zoomScaleNormal="100" zoomScaleSheetLayoutView="85" workbookViewId="0">
      <selection activeCell="P17" sqref="P17"/>
    </sheetView>
  </sheetViews>
  <sheetFormatPr defaultColWidth="9.140625" defaultRowHeight="14.25"/>
  <cols>
    <col min="1" max="3" width="9.140625" style="47"/>
    <col min="4" max="4" width="4.28515625" style="47" customWidth="1"/>
    <col min="5" max="5" width="5.28515625" style="47" customWidth="1"/>
    <col min="6" max="6" width="15.85546875" style="47" customWidth="1"/>
    <col min="7" max="7" width="11.28515625" style="47" customWidth="1"/>
    <col min="8" max="9" width="9.140625" style="47"/>
    <col min="10" max="10" width="9.42578125" style="47" bestFit="1" customWidth="1"/>
    <col min="11" max="11" width="10.7109375" style="47" customWidth="1"/>
    <col min="12" max="14" width="9.140625" style="47"/>
    <col min="15" max="15" width="39.28515625" style="47" customWidth="1"/>
    <col min="16" max="16384" width="9.140625" style="47"/>
  </cols>
  <sheetData>
    <row r="1" spans="1:15" ht="27.6" customHeight="1" thickBot="1">
      <c r="A1" s="82" t="s">
        <v>235</v>
      </c>
    </row>
    <row r="2" spans="1:15" ht="18" customHeight="1"/>
    <row r="3" spans="1:15" ht="18" customHeight="1"/>
    <row r="4" spans="1:15" ht="18" customHeight="1"/>
    <row r="6" spans="1:15" ht="18">
      <c r="D6" s="136" t="s">
        <v>0</v>
      </c>
      <c r="E6" s="136"/>
      <c r="F6" s="136"/>
      <c r="G6" s="136"/>
      <c r="H6" s="136"/>
      <c r="I6" s="136"/>
      <c r="J6" s="136"/>
      <c r="K6" s="136"/>
      <c r="L6" s="136"/>
      <c r="M6" s="136"/>
      <c r="N6" s="136"/>
      <c r="O6" s="136"/>
    </row>
    <row r="8" spans="1:15" ht="15.75">
      <c r="D8" s="179" t="str">
        <f>_xlfn.XLOOKUP(A1,'Contract Data'!C:C,'Contract Data'!I:I)</f>
        <v>S/AGFZE/CU/NC/004/2026-27</v>
      </c>
      <c r="E8" s="179"/>
      <c r="F8" s="179"/>
      <c r="G8" s="179"/>
      <c r="H8" s="179"/>
      <c r="I8" s="95"/>
      <c r="J8" s="95"/>
      <c r="K8" s="95"/>
      <c r="L8" s="95"/>
      <c r="M8" s="95"/>
      <c r="O8" s="99" t="str">
        <f>"DATE: "&amp;TEXT(_xlfn.XLOOKUP(A1,'Contract Data'!C:C,'Contract Data'!D:D),"dd/mm/yyyy")</f>
        <v>DATE: 06/06/2026</v>
      </c>
    </row>
    <row r="9" spans="1:15">
      <c r="D9" s="95"/>
      <c r="E9" s="95"/>
      <c r="F9" s="95"/>
      <c r="G9" s="95"/>
      <c r="H9" s="95"/>
      <c r="I9" s="95"/>
      <c r="J9" s="95"/>
      <c r="K9" s="95"/>
      <c r="L9" s="95"/>
      <c r="M9" s="95"/>
    </row>
    <row r="10" spans="1:15" ht="15.75">
      <c r="D10" s="180" t="str">
        <f>_xlfn.XLOOKUP(A1,'Contract Data'!C:C,'Contract Data'!H:H)</f>
        <v>NINGBO CIMEI IMPORT &amp; EXPORT CO., LTD</v>
      </c>
      <c r="E10" s="180"/>
      <c r="F10" s="180"/>
      <c r="G10" s="180"/>
      <c r="H10" s="180"/>
      <c r="I10" s="181"/>
      <c r="J10" s="95"/>
      <c r="K10" s="95"/>
      <c r="L10" s="95"/>
      <c r="M10" s="95"/>
    </row>
    <row r="11" spans="1:15" ht="47.1" customHeight="1">
      <c r="D11" s="182" t="str">
        <f>_xlfn.XLOOKUP(A1,'Contract Data'!C:C,'Contract Data'!J:J)&amp;_xlfn.XLOOKUP(A1,'Contract Data'!C:C,'Contract Data'!K:K)</f>
        <v>18F, Block A, Ningxing International Trade Building, 510 Heyuan Road,Yinzhou District, Ningbo, 315040, P.R.C</v>
      </c>
      <c r="E11" s="182"/>
      <c r="F11" s="182"/>
      <c r="G11" s="182"/>
      <c r="H11" s="182"/>
      <c r="I11" s="182"/>
      <c r="J11" s="182"/>
      <c r="K11" s="182"/>
      <c r="L11" s="182"/>
      <c r="M11" s="182"/>
    </row>
    <row r="12" spans="1:15" ht="69.95" customHeight="1">
      <c r="D12" s="182" t="str">
        <f>_xlfn.XLOOKUP(A1,'Contract Data'!C:C,'Contract Data'!P:P)&amp;""&amp;_xlfn.XLOOKUP(A1,'Contract Data'!C:C,'Contract Data'!R:R)&amp;""&amp;_xlfn.XLOOKUP(A1,'Contract Data'!C:C,'Contract Data'!Q:Q)</f>
        <v>91330201698240267Gamy.jiang@futureie.comTel: 0086-574-87780225</v>
      </c>
      <c r="E12" s="182"/>
      <c r="F12" s="182"/>
      <c r="G12" s="182"/>
      <c r="H12" s="182"/>
      <c r="I12" s="182"/>
      <c r="J12" s="182"/>
      <c r="K12" s="182"/>
      <c r="L12" s="182"/>
      <c r="M12" s="182"/>
    </row>
    <row r="13" spans="1:15" ht="15.75">
      <c r="D13" s="138" t="s">
        <v>2</v>
      </c>
      <c r="E13" s="138"/>
      <c r="F13" s="138"/>
      <c r="G13" s="138"/>
      <c r="H13" s="138"/>
      <c r="I13" s="138"/>
      <c r="J13" s="138"/>
      <c r="K13" s="138"/>
      <c r="L13" s="138"/>
      <c r="M13" s="138"/>
    </row>
    <row r="15" spans="1:15" ht="15.75">
      <c r="D15" s="61" t="s">
        <v>5</v>
      </c>
      <c r="E15" s="62" t="s">
        <v>4</v>
      </c>
      <c r="F15" s="60"/>
      <c r="G15" s="60"/>
      <c r="H15" s="60"/>
      <c r="I15" s="60"/>
      <c r="J15" s="60"/>
      <c r="K15" s="60"/>
      <c r="L15" s="60"/>
      <c r="M15" s="60"/>
      <c r="N15" s="60"/>
      <c r="O15" s="60"/>
    </row>
    <row r="16" spans="1:15" ht="26.45" customHeight="1">
      <c r="D16" s="59"/>
      <c r="E16" s="63" t="s">
        <v>83</v>
      </c>
      <c r="F16" s="182" t="str">
        <f>_xlfn.XLOOKUP(A1,'Contract Data'!C:C,'Contract Data'!S:S)</f>
        <v>COPPER INGOTS 99%</v>
      </c>
      <c r="G16" s="182"/>
      <c r="H16" s="182"/>
      <c r="I16" s="182"/>
      <c r="J16" s="182"/>
      <c r="K16" s="182"/>
      <c r="L16" s="182"/>
      <c r="M16" s="182"/>
      <c r="N16" s="182"/>
      <c r="O16" s="182"/>
    </row>
    <row r="17" spans="4:20" ht="53.25" customHeight="1">
      <c r="D17" s="59"/>
      <c r="E17" s="63" t="s">
        <v>74</v>
      </c>
      <c r="F17" s="139" t="s">
        <v>115</v>
      </c>
      <c r="G17" s="140"/>
      <c r="H17" s="140"/>
      <c r="I17" s="140"/>
      <c r="J17" s="140"/>
      <c r="K17" s="140"/>
      <c r="L17" s="140"/>
      <c r="M17" s="140"/>
      <c r="N17" s="140"/>
      <c r="O17" s="140"/>
      <c r="P17" s="54"/>
    </row>
    <row r="18" spans="4:20" ht="15.75">
      <c r="D18" s="59"/>
      <c r="E18" s="61" t="s">
        <v>76</v>
      </c>
      <c r="F18" s="60" t="s">
        <v>190</v>
      </c>
      <c r="G18" s="64"/>
      <c r="H18" s="180" t="str">
        <f>_xlfn.XLOOKUP(A1,'Contract Data'!C:C,'Contract Data'!U:U)</f>
        <v>PAKISTAN</v>
      </c>
      <c r="I18" s="181"/>
      <c r="J18" s="181"/>
      <c r="K18" s="181"/>
      <c r="L18" s="181"/>
      <c r="M18" s="181"/>
      <c r="N18" s="181"/>
      <c r="O18" s="181"/>
    </row>
    <row r="19" spans="4:20" ht="15.75">
      <c r="D19" s="59"/>
      <c r="E19" s="61" t="s">
        <v>77</v>
      </c>
      <c r="F19" s="65" t="s">
        <v>189</v>
      </c>
      <c r="G19" s="64"/>
      <c r="H19" s="180" t="str">
        <f>"ANY PORT (S) IN "&amp;_xlfn.XLOOKUP(A1,'Contract Data'!C:C,'Contract Data'!V:V)</f>
        <v>ANY PORT (S) IN PAKISTAN</v>
      </c>
      <c r="I19" s="181"/>
      <c r="J19" s="181"/>
      <c r="K19" s="181"/>
      <c r="L19" s="181"/>
      <c r="M19" s="181"/>
      <c r="N19" s="181"/>
      <c r="O19" s="181"/>
    </row>
    <row r="20" spans="4:20" ht="15" customHeight="1">
      <c r="D20" s="59"/>
      <c r="E20" s="61" t="s">
        <v>78</v>
      </c>
      <c r="F20" s="65" t="s">
        <v>88</v>
      </c>
      <c r="G20" s="64"/>
      <c r="H20" s="182" t="str">
        <f>_xlfn.XLOOKUP(A1,'Contract Data'!C:C,'Contract Data'!Z:Z)&amp;", "&amp;_xlfn.XLOOKUP(A1,'Contract Data'!C:C,'Contract Data'!W:W)&amp;_xlfn.XLOOKUP(A1,'Contract Data'!C:C,'Contract Data'!X:X)&amp;", "&amp;_xlfn.XLOOKUP(A1,'Contract Data'!C:C,'Contract Data'!L:L)</f>
        <v>CIF, NINGBO,, CHINA</v>
      </c>
      <c r="I20" s="182"/>
      <c r="J20" s="182"/>
      <c r="K20" s="182"/>
      <c r="L20" s="182"/>
      <c r="M20" s="182"/>
      <c r="N20" s="182"/>
      <c r="O20" s="182"/>
      <c r="P20" s="55"/>
      <c r="Q20" s="55"/>
      <c r="R20" s="55"/>
    </row>
    <row r="21" spans="4:20" ht="36" customHeight="1">
      <c r="D21" s="59"/>
      <c r="E21" s="63" t="s">
        <v>79</v>
      </c>
      <c r="F21" s="141" t="s">
        <v>84</v>
      </c>
      <c r="G21" s="141"/>
      <c r="H21" s="182" t="str">
        <f>_xlfn.XLOOKUP(A1,'Contract Data'!C:C,'Contract Data'!AA:AA)&amp;" MT "&amp;_xlfn.XLOOKUP(A1,'Contract Data'!C:C,'Contract Data'!AB:AB)&amp;" (SELLER’S OPTION) IN "&amp;_xlfn.XLOOKUP(A1,'Contract Data'!C:C,'Contract Data'!AC:AC)&amp;" IN "&amp;_xlfn.XLOOKUP(A1,'Contract Data'!C:C,'Contract Data'!AD:AD)&amp;" X "&amp;_xlfn.XLOOKUP(A1,'Contract Data'!C:C,'Contract Data'!AE:AE)&amp;" CONTAINER/S"</f>
        <v>100 MT +/-10% (SELLER’S OPTION) IN LOSSE IN 5 X 20 CONTAINER/S</v>
      </c>
      <c r="I21" s="182"/>
      <c r="J21" s="182"/>
      <c r="K21" s="182"/>
      <c r="L21" s="182"/>
      <c r="M21" s="182"/>
      <c r="N21" s="182"/>
      <c r="O21" s="182"/>
    </row>
    <row r="22" spans="4:20" ht="15.75">
      <c r="D22" s="59"/>
      <c r="E22" s="61"/>
      <c r="F22" s="66"/>
      <c r="G22" s="64"/>
      <c r="H22" s="58"/>
      <c r="I22" s="60"/>
      <c r="J22" s="60"/>
      <c r="K22" s="60"/>
      <c r="L22" s="60"/>
      <c r="M22" s="60"/>
      <c r="N22" s="60"/>
      <c r="O22" s="60"/>
    </row>
    <row r="23" spans="4:20" ht="32.1" customHeight="1">
      <c r="D23" s="63" t="s">
        <v>6</v>
      </c>
      <c r="E23" s="80" t="s">
        <v>110</v>
      </c>
      <c r="F23" s="60"/>
      <c r="G23" s="60"/>
      <c r="H23" s="182" t="str">
        <f>_xlfn.XLOOKUP(A1,'Contract Data'!C:C,'Contract Data'!AF:AF)&amp;" AGAINST FOLLOWING DOCUMENTS"</f>
        <v>100% CAD THROUGH BANK AGAINST FOLLOWING DOCUMENTS</v>
      </c>
      <c r="I23" s="182"/>
      <c r="J23" s="182"/>
      <c r="K23" s="182"/>
      <c r="L23" s="182"/>
      <c r="M23" s="182"/>
      <c r="N23" s="182"/>
      <c r="O23" s="182"/>
    </row>
    <row r="24" spans="4:20" ht="39.950000000000003" customHeight="1">
      <c r="D24" s="59"/>
      <c r="E24" s="139" t="str">
        <f>_xlfn.XLOOKUP(A1,'Contract Data'!C:C,'Contract Data'!AG:AG)</f>
        <v>1) FULL SET (3/3) ORIGINAL BILL OF LADING B/L TO SHOW "FREIGHT PREPAID" 2) COMMERCIAL INVOICE 3) PACKING LIST 4) CERTIFICATE OF ORIGIN 5) INSURANCE CERTIFICATE.</v>
      </c>
      <c r="F24" s="139"/>
      <c r="G24" s="139"/>
      <c r="H24" s="139"/>
      <c r="I24" s="139"/>
      <c r="J24" s="139"/>
      <c r="K24" s="139"/>
      <c r="L24" s="139"/>
      <c r="M24" s="139"/>
      <c r="N24" s="139"/>
      <c r="O24" s="139"/>
      <c r="P24" s="50"/>
    </row>
    <row r="25" spans="4:20" ht="15.75">
      <c r="D25" s="59"/>
      <c r="E25" s="61"/>
      <c r="F25" s="66"/>
      <c r="G25" s="64"/>
      <c r="H25" s="58"/>
      <c r="I25" s="60"/>
      <c r="J25" s="60"/>
      <c r="K25" s="60"/>
      <c r="L25" s="60"/>
      <c r="M25" s="60"/>
      <c r="N25" s="60"/>
      <c r="O25" s="60"/>
    </row>
    <row r="26" spans="4:20" ht="33.75" customHeight="1">
      <c r="D26" s="63" t="s">
        <v>7</v>
      </c>
      <c r="E26" s="182" t="str">
        <f>"PRICE: USD "&amp;_xlfn.XLOOKUP(A1,'Contract Data'!C:C,'Contract Data'!AJ:AJ)&amp;" PMT" &amp;", "&amp;_xlfn.XLOOKUP(A1,'Contract Data'!C:C,'Contract Data'!Z:Z)&amp;" "&amp;_xlfn.XLOOKUP(A1,'Contract Data'!C:C,'Contract Data'!W:W)&amp;","&amp;_xlfn.XLOOKUP(A1,'Contract Data'!C:C,'Contract Data'!X:X)&amp;" "&amp;_xlfn.XLOOKUP(A1,'Contract Data'!C:C,'Contract Data'!L:L)</f>
        <v>PRICE: USD 5000 PMT, CIF NINGBO,, CHINA</v>
      </c>
      <c r="F26" s="182"/>
      <c r="G26" s="182"/>
      <c r="H26" s="182"/>
      <c r="I26" s="182"/>
      <c r="J26" s="182"/>
      <c r="K26" s="182"/>
      <c r="L26" s="182"/>
      <c r="M26" s="182"/>
      <c r="N26" s="182"/>
      <c r="O26" s="182"/>
      <c r="P26" s="49"/>
      <c r="Q26" s="49"/>
      <c r="R26" s="49"/>
      <c r="S26" s="49"/>
      <c r="T26" s="49"/>
    </row>
    <row r="27" spans="4:20" ht="15.75">
      <c r="D27" s="59"/>
      <c r="E27" s="61"/>
      <c r="F27" s="66"/>
      <c r="G27" s="64"/>
      <c r="H27" s="58"/>
      <c r="I27" s="60"/>
      <c r="J27" s="60"/>
      <c r="K27" s="60"/>
      <c r="L27" s="60"/>
      <c r="M27" s="60"/>
      <c r="N27" s="60"/>
      <c r="O27" s="60"/>
    </row>
    <row r="28" spans="4:20" ht="52.5" customHeight="1">
      <c r="D28" s="63" t="s">
        <v>8</v>
      </c>
      <c r="E28" s="140" t="s">
        <v>105</v>
      </c>
      <c r="F28" s="140"/>
      <c r="G28" s="140"/>
      <c r="H28" s="140"/>
      <c r="I28" s="140"/>
      <c r="J28" s="140"/>
      <c r="K28" s="140"/>
      <c r="L28" s="140"/>
      <c r="M28" s="140"/>
      <c r="N28" s="140"/>
      <c r="O28" s="140"/>
    </row>
    <row r="29" spans="4:20" ht="15.75">
      <c r="D29" s="61"/>
      <c r="E29" s="67"/>
      <c r="F29" s="67"/>
      <c r="G29" s="67"/>
      <c r="H29" s="67"/>
      <c r="I29" s="67"/>
      <c r="J29" s="67"/>
      <c r="K29" s="67"/>
      <c r="L29" s="67"/>
      <c r="M29" s="67"/>
      <c r="N29" s="67"/>
      <c r="O29" s="67"/>
    </row>
    <row r="30" spans="4:20" ht="69" customHeight="1">
      <c r="D30" s="63" t="s">
        <v>9</v>
      </c>
      <c r="E30" s="140" t="s">
        <v>19</v>
      </c>
      <c r="F30" s="140"/>
      <c r="G30" s="140"/>
      <c r="H30" s="140"/>
      <c r="I30" s="140"/>
      <c r="J30" s="140"/>
      <c r="K30" s="140"/>
      <c r="L30" s="140"/>
      <c r="M30" s="140"/>
      <c r="N30" s="140"/>
      <c r="O30" s="140"/>
    </row>
    <row r="31" spans="4:20" ht="89.25" customHeight="1">
      <c r="D31" s="63" t="s">
        <v>10</v>
      </c>
      <c r="E31" s="140" t="s">
        <v>106</v>
      </c>
      <c r="F31" s="140"/>
      <c r="G31" s="140"/>
      <c r="H31" s="140"/>
      <c r="I31" s="140"/>
      <c r="J31" s="140"/>
      <c r="K31" s="140"/>
      <c r="L31" s="140"/>
      <c r="M31" s="140"/>
      <c r="N31" s="140"/>
      <c r="O31" s="140"/>
    </row>
    <row r="32" spans="4:20" ht="117" customHeight="1">
      <c r="D32" s="63" t="s">
        <v>11</v>
      </c>
      <c r="E32" s="140" t="s">
        <v>21</v>
      </c>
      <c r="F32" s="140"/>
      <c r="G32" s="140"/>
      <c r="H32" s="140"/>
      <c r="I32" s="140"/>
      <c r="J32" s="140"/>
      <c r="K32" s="140"/>
      <c r="L32" s="140"/>
      <c r="M32" s="140"/>
      <c r="N32" s="140"/>
      <c r="O32" s="140"/>
    </row>
    <row r="34" spans="4:15" ht="15">
      <c r="D34" s="48"/>
    </row>
    <row r="35" spans="4:15" ht="15.75">
      <c r="D35" s="70" t="s">
        <v>12</v>
      </c>
      <c r="E35" s="60"/>
      <c r="F35" s="60"/>
      <c r="G35" s="60"/>
      <c r="H35" s="71"/>
      <c r="I35" s="71"/>
      <c r="J35" s="60"/>
      <c r="K35" s="60"/>
      <c r="L35" s="60"/>
      <c r="M35" s="60"/>
      <c r="N35" s="60"/>
      <c r="O35" s="60"/>
    </row>
    <row r="36" spans="4:15" ht="15.75">
      <c r="D36" s="41" t="s">
        <v>96</v>
      </c>
      <c r="E36" s="41"/>
      <c r="F36" s="60"/>
      <c r="G36" s="41" t="s">
        <v>86</v>
      </c>
      <c r="H36" s="71"/>
      <c r="I36" s="71"/>
      <c r="J36" s="60"/>
      <c r="K36" s="60"/>
      <c r="L36" s="60"/>
      <c r="M36" s="60"/>
      <c r="N36" s="60"/>
      <c r="O36" s="60"/>
    </row>
    <row r="37" spans="4:15" ht="15.75">
      <c r="D37" s="41" t="s">
        <v>97</v>
      </c>
      <c r="E37" s="41"/>
      <c r="F37" s="60"/>
      <c r="G37" s="41" t="s">
        <v>98</v>
      </c>
      <c r="H37" s="71"/>
      <c r="I37" s="71"/>
      <c r="J37" s="60"/>
      <c r="K37" s="60"/>
      <c r="L37" s="60"/>
      <c r="M37" s="60"/>
      <c r="N37" s="60"/>
      <c r="O37" s="60"/>
    </row>
    <row r="38" spans="4:15" ht="15.75">
      <c r="D38" s="41" t="s">
        <v>99</v>
      </c>
      <c r="E38" s="41"/>
      <c r="F38" s="60"/>
      <c r="G38" s="41" t="s">
        <v>100</v>
      </c>
      <c r="H38" s="71"/>
      <c r="I38" s="60"/>
      <c r="J38" s="60"/>
      <c r="K38" s="60"/>
      <c r="L38" s="60"/>
      <c r="M38" s="60"/>
      <c r="N38" s="60"/>
      <c r="O38" s="60"/>
    </row>
    <row r="39" spans="4:15" ht="15.75">
      <c r="D39" s="41" t="s">
        <v>85</v>
      </c>
      <c r="E39" s="41"/>
      <c r="F39" s="60"/>
      <c r="G39" s="41" t="s">
        <v>101</v>
      </c>
      <c r="H39" s="72"/>
      <c r="I39" s="60"/>
      <c r="J39" s="60"/>
      <c r="K39" s="60"/>
      <c r="L39" s="60"/>
      <c r="M39" s="60"/>
      <c r="N39" s="60"/>
      <c r="O39" s="60"/>
    </row>
    <row r="40" spans="4:15" ht="15">
      <c r="D40" s="71"/>
      <c r="E40" s="60"/>
      <c r="F40" s="60"/>
      <c r="G40" s="60"/>
      <c r="H40" s="72"/>
      <c r="I40" s="60"/>
      <c r="J40" s="60"/>
      <c r="K40" s="60"/>
      <c r="L40" s="60"/>
      <c r="M40" s="60"/>
      <c r="N40" s="60"/>
      <c r="O40" s="60"/>
    </row>
    <row r="41" spans="4:15" ht="15.75">
      <c r="D41" s="142" t="s">
        <v>13</v>
      </c>
      <c r="E41" s="142"/>
      <c r="F41" s="142"/>
      <c r="G41" s="142"/>
      <c r="H41" s="142"/>
      <c r="I41" s="142"/>
      <c r="J41" s="142"/>
      <c r="K41" s="142"/>
      <c r="L41" s="142"/>
      <c r="M41" s="142"/>
      <c r="N41" s="142"/>
      <c r="O41" s="142"/>
    </row>
    <row r="42" spans="4:15" ht="15.75">
      <c r="D42" s="142" t="s">
        <v>14</v>
      </c>
      <c r="E42" s="142"/>
      <c r="F42" s="142"/>
      <c r="G42" s="142"/>
      <c r="H42" s="142"/>
      <c r="I42" s="142"/>
      <c r="J42" s="142"/>
      <c r="K42" s="142"/>
      <c r="L42" s="142"/>
      <c r="M42" s="142"/>
      <c r="N42" s="142"/>
      <c r="O42" s="142"/>
    </row>
    <row r="43" spans="4:15" ht="15">
      <c r="D43" s="48"/>
    </row>
    <row r="44" spans="4:15" ht="15">
      <c r="D44" s="48"/>
    </row>
    <row r="45" spans="4:15" ht="15">
      <c r="D45" s="48"/>
    </row>
    <row r="46" spans="4:15" ht="15">
      <c r="D46" s="48"/>
    </row>
    <row r="47" spans="4:15" ht="15">
      <c r="D47" s="48"/>
    </row>
    <row r="48" spans="4:15" ht="15">
      <c r="D48" s="48"/>
    </row>
    <row r="49" spans="4:15" ht="15">
      <c r="D49" s="48"/>
    </row>
    <row r="50" spans="4:15" ht="15">
      <c r="D50" s="48"/>
    </row>
    <row r="51" spans="4:15" ht="15.75">
      <c r="D51" s="59" t="str">
        <f>D8</f>
        <v>S/AGFZE/CU/NC/004/2026-27</v>
      </c>
      <c r="E51" s="60"/>
      <c r="F51" s="59"/>
      <c r="G51" s="59"/>
      <c r="H51" s="59"/>
      <c r="I51" s="59"/>
      <c r="J51" s="59"/>
      <c r="K51" s="59"/>
      <c r="L51" s="59"/>
      <c r="M51" s="59"/>
      <c r="N51" s="59"/>
      <c r="O51" s="85" t="str">
        <f>O8</f>
        <v>DATE: 06/06/2026</v>
      </c>
    </row>
    <row r="52" spans="4:15" ht="15.75">
      <c r="D52" s="59"/>
      <c r="E52" s="60"/>
      <c r="F52" s="60"/>
      <c r="G52" s="60"/>
      <c r="H52" s="60"/>
      <c r="I52" s="60"/>
      <c r="J52" s="60"/>
      <c r="K52" s="60"/>
      <c r="L52" s="60"/>
      <c r="M52" s="60"/>
      <c r="N52" s="60"/>
      <c r="O52" s="60"/>
    </row>
    <row r="53" spans="4:15" ht="81.75" customHeight="1">
      <c r="D53" s="59"/>
      <c r="E53" s="139" t="s">
        <v>3</v>
      </c>
      <c r="F53" s="139"/>
      <c r="G53" s="139"/>
      <c r="H53" s="139"/>
      <c r="I53" s="139"/>
      <c r="J53" s="139"/>
      <c r="K53" s="139"/>
      <c r="L53" s="139"/>
      <c r="M53" s="139"/>
      <c r="N53" s="139"/>
      <c r="O53" s="139"/>
    </row>
    <row r="54" spans="4:15" ht="49.5" customHeight="1">
      <c r="D54" s="59"/>
      <c r="E54" s="139" t="s">
        <v>22</v>
      </c>
      <c r="F54" s="139"/>
      <c r="G54" s="139"/>
      <c r="H54" s="139"/>
      <c r="I54" s="139"/>
      <c r="J54" s="139"/>
      <c r="K54" s="139"/>
      <c r="L54" s="139"/>
      <c r="M54" s="139"/>
      <c r="N54" s="139"/>
      <c r="O54" s="139"/>
    </row>
    <row r="55" spans="4:15" ht="52.5" customHeight="1">
      <c r="D55" s="60"/>
      <c r="E55" s="139" t="s">
        <v>75</v>
      </c>
      <c r="F55" s="139"/>
      <c r="G55" s="139"/>
      <c r="H55" s="139"/>
      <c r="I55" s="139"/>
      <c r="J55" s="139"/>
      <c r="K55" s="139"/>
      <c r="L55" s="139"/>
      <c r="M55" s="139"/>
      <c r="N55" s="139"/>
      <c r="O55" s="139"/>
    </row>
    <row r="56" spans="4:15" ht="16.5" customHeight="1">
      <c r="D56" s="60"/>
      <c r="E56" s="36"/>
      <c r="F56" s="36"/>
      <c r="G56" s="36"/>
      <c r="H56" s="36"/>
      <c r="I56" s="36"/>
      <c r="J56" s="36"/>
      <c r="K56" s="36"/>
      <c r="L56" s="36"/>
      <c r="M56" s="36"/>
      <c r="N56" s="36"/>
      <c r="O56" s="36"/>
    </row>
    <row r="57" spans="4:15" ht="51.75" customHeight="1">
      <c r="D57" s="63" t="s">
        <v>24</v>
      </c>
      <c r="E57" s="139" t="s">
        <v>25</v>
      </c>
      <c r="F57" s="139"/>
      <c r="G57" s="139"/>
      <c r="H57" s="139"/>
      <c r="I57" s="139"/>
      <c r="J57" s="139"/>
      <c r="K57" s="139"/>
      <c r="L57" s="139"/>
      <c r="M57" s="139"/>
      <c r="N57" s="139"/>
      <c r="O57" s="139"/>
    </row>
    <row r="58" spans="4:15" ht="16.5" customHeight="1">
      <c r="D58" s="60"/>
      <c r="E58" s="36"/>
      <c r="F58" s="36"/>
      <c r="G58" s="36"/>
      <c r="H58" s="36"/>
      <c r="I58" s="36"/>
      <c r="J58" s="36"/>
      <c r="K58" s="36"/>
      <c r="L58" s="36"/>
      <c r="M58" s="36"/>
      <c r="N58" s="36"/>
      <c r="O58" s="36"/>
    </row>
    <row r="59" spans="4:15" ht="15" customHeight="1">
      <c r="D59" s="63" t="s">
        <v>26</v>
      </c>
      <c r="E59" s="139" t="s">
        <v>27</v>
      </c>
      <c r="F59" s="139"/>
      <c r="G59" s="139"/>
      <c r="H59" s="139"/>
      <c r="I59" s="139"/>
      <c r="J59" s="139"/>
      <c r="K59" s="139"/>
      <c r="L59" s="139"/>
      <c r="M59" s="139"/>
      <c r="N59" s="139"/>
      <c r="O59" s="139"/>
    </row>
    <row r="60" spans="4:15" ht="16.5" customHeight="1">
      <c r="D60" s="60"/>
      <c r="E60" s="36"/>
      <c r="F60" s="36"/>
      <c r="G60" s="36"/>
      <c r="H60" s="36"/>
      <c r="I60" s="36"/>
      <c r="J60" s="36"/>
      <c r="K60" s="36"/>
      <c r="L60" s="36"/>
      <c r="M60" s="36"/>
      <c r="N60" s="36"/>
      <c r="O60" s="36"/>
    </row>
    <row r="61" spans="4:15" ht="15" customHeight="1">
      <c r="D61" s="63" t="s">
        <v>28</v>
      </c>
      <c r="E61" s="139" t="str">
        <f>"WEIGHT SHORTAGE WILL NOT BE ACCEPTED LESS THAN "&amp;_xlfn.XLOOKUP(A1,'Contract Data'!C:C,'Contract Data'!AK:AK)&amp;", MORE THAN "&amp;_xlfn.XLOOKUP(A1,'Contract Data'!C:C,'Contract Data'!AK:AK)&amp;" WILL BE CLAIMED"</f>
        <v>WEIGHT SHORTAGE WILL NOT BE ACCEPTED LESS THAN 0.50%, MORE THAN 0.50% WILL BE CLAIMED</v>
      </c>
      <c r="F61" s="139"/>
      <c r="G61" s="139"/>
      <c r="H61" s="139"/>
      <c r="I61" s="139"/>
      <c r="J61" s="139"/>
      <c r="K61" s="139"/>
      <c r="L61" s="139"/>
      <c r="M61" s="139"/>
      <c r="N61" s="139"/>
      <c r="O61" s="139"/>
    </row>
    <row r="62" spans="4:15" ht="15" customHeight="1">
      <c r="D62" s="63"/>
      <c r="E62" s="36"/>
      <c r="F62" s="36"/>
      <c r="G62" s="36"/>
      <c r="H62" s="36"/>
      <c r="I62" s="36"/>
      <c r="J62" s="36"/>
      <c r="K62" s="36"/>
      <c r="L62" s="36"/>
      <c r="M62" s="36"/>
      <c r="N62" s="36"/>
      <c r="O62" s="36"/>
    </row>
    <row r="63" spans="4:15" ht="51" customHeight="1">
      <c r="D63" s="63" t="s">
        <v>89</v>
      </c>
      <c r="E63" s="143" t="s">
        <v>30</v>
      </c>
      <c r="F63" s="143"/>
      <c r="G63" s="143"/>
      <c r="H63" s="143"/>
      <c r="I63" s="143"/>
      <c r="J63" s="143"/>
      <c r="K63" s="143"/>
      <c r="L63" s="143"/>
      <c r="M63" s="143"/>
      <c r="N63" s="143"/>
      <c r="O63" s="143"/>
    </row>
    <row r="64" spans="4:15" ht="16.5" customHeight="1">
      <c r="D64" s="60"/>
      <c r="E64" s="36"/>
      <c r="F64" s="36"/>
      <c r="G64" s="36"/>
      <c r="H64" s="36"/>
      <c r="I64" s="36"/>
      <c r="J64" s="36"/>
      <c r="K64" s="36"/>
      <c r="L64" s="36"/>
      <c r="M64" s="36"/>
      <c r="N64" s="36"/>
      <c r="O64" s="36"/>
    </row>
    <row r="65" spans="4:15" ht="99" customHeight="1">
      <c r="D65" s="63" t="s">
        <v>90</v>
      </c>
      <c r="E65" s="139" t="s">
        <v>31</v>
      </c>
      <c r="F65" s="139"/>
      <c r="G65" s="139"/>
      <c r="H65" s="139"/>
      <c r="I65" s="139"/>
      <c r="J65" s="139"/>
      <c r="K65" s="139"/>
      <c r="L65" s="139"/>
      <c r="M65" s="139"/>
      <c r="N65" s="139"/>
      <c r="O65" s="139"/>
    </row>
    <row r="66" spans="4:15" ht="18.75" customHeight="1">
      <c r="D66" s="63"/>
      <c r="E66" s="36"/>
      <c r="F66" s="36"/>
      <c r="G66" s="36"/>
      <c r="H66" s="36"/>
      <c r="I66" s="36"/>
      <c r="J66" s="36"/>
      <c r="K66" s="36"/>
      <c r="L66" s="36"/>
      <c r="M66" s="36"/>
      <c r="N66" s="36"/>
      <c r="O66" s="36"/>
    </row>
    <row r="67" spans="4:15" ht="15">
      <c r="D67" s="60"/>
      <c r="E67" s="68"/>
      <c r="F67" s="60"/>
      <c r="G67" s="60"/>
      <c r="H67" s="60"/>
      <c r="I67" s="60"/>
      <c r="J67" s="60"/>
      <c r="K67" s="60"/>
      <c r="L67" s="60"/>
      <c r="M67" s="60"/>
      <c r="N67" s="60"/>
      <c r="O67" s="60"/>
    </row>
    <row r="68" spans="4:15" ht="15.75">
      <c r="D68" s="32" t="s">
        <v>92</v>
      </c>
      <c r="E68" s="60"/>
      <c r="F68" s="60"/>
      <c r="G68" s="60"/>
      <c r="H68" s="60"/>
      <c r="I68" s="60"/>
      <c r="J68" s="60"/>
      <c r="K68" s="60"/>
      <c r="L68" s="60"/>
      <c r="M68" s="60"/>
      <c r="N68" s="32" t="s">
        <v>94</v>
      </c>
      <c r="O68" s="60"/>
    </row>
    <row r="69" spans="4:15" ht="15">
      <c r="D69" s="69"/>
      <c r="E69" s="60"/>
      <c r="F69" s="60"/>
      <c r="G69" s="60"/>
      <c r="H69" s="60"/>
      <c r="I69" s="60"/>
      <c r="J69" s="60"/>
      <c r="K69" s="60"/>
      <c r="L69" s="60"/>
      <c r="M69" s="60"/>
      <c r="N69" s="60"/>
      <c r="O69" s="60"/>
    </row>
    <row r="70" spans="4:15" ht="38.1" customHeight="1">
      <c r="D70" s="81" t="s">
        <v>33</v>
      </c>
      <c r="E70" s="60"/>
      <c r="F70" s="60"/>
      <c r="G70" s="60"/>
      <c r="H70" s="60"/>
      <c r="I70" s="60"/>
      <c r="J70" s="60"/>
      <c r="K70" s="60"/>
      <c r="L70" s="60"/>
      <c r="M70" s="60"/>
      <c r="N70" s="144" t="str">
        <f>"FOR "&amp;D10</f>
        <v>FOR NINGBO CIMEI IMPORT &amp; EXPORT CO., LTD</v>
      </c>
      <c r="O70" s="144"/>
    </row>
    <row r="71" spans="4:15" ht="15">
      <c r="D71" s="69"/>
      <c r="E71" s="60"/>
      <c r="F71" s="60"/>
      <c r="G71" s="60"/>
      <c r="H71" s="60"/>
      <c r="I71" s="60"/>
      <c r="J71" s="60"/>
      <c r="K71" s="60"/>
      <c r="L71" s="60"/>
      <c r="M71" s="60"/>
      <c r="N71" s="60"/>
      <c r="O71" s="60"/>
    </row>
    <row r="72" spans="4:15" ht="15">
      <c r="D72" s="69"/>
      <c r="E72" s="60"/>
      <c r="F72" s="60"/>
      <c r="G72" s="60"/>
      <c r="H72" s="60"/>
      <c r="I72" s="60"/>
      <c r="J72" s="60"/>
      <c r="K72" s="60"/>
      <c r="L72" s="60"/>
      <c r="M72" s="60"/>
      <c r="N72" s="60"/>
      <c r="O72" s="60"/>
    </row>
    <row r="73" spans="4:15" ht="15">
      <c r="D73" s="69"/>
      <c r="E73" s="60"/>
      <c r="F73" s="60"/>
      <c r="G73" s="60"/>
      <c r="H73" s="60"/>
      <c r="I73" s="60"/>
      <c r="J73" s="60"/>
      <c r="K73" s="60"/>
      <c r="L73" s="60"/>
      <c r="M73" s="60"/>
      <c r="N73" s="60"/>
      <c r="O73" s="60"/>
    </row>
    <row r="74" spans="4:15" ht="15.75">
      <c r="D74" s="32" t="s">
        <v>93</v>
      </c>
      <c r="E74" s="60"/>
      <c r="F74" s="60"/>
      <c r="G74" s="60"/>
      <c r="H74" s="60"/>
      <c r="I74" s="60"/>
      <c r="J74" s="60"/>
      <c r="K74" s="60"/>
      <c r="L74" s="60"/>
      <c r="M74" s="60"/>
      <c r="N74" s="32" t="s">
        <v>95</v>
      </c>
      <c r="O74" s="60"/>
    </row>
    <row r="75" spans="4:15" ht="15">
      <c r="D75" s="60"/>
      <c r="E75" s="60"/>
      <c r="F75" s="60"/>
      <c r="G75" s="60"/>
      <c r="H75" s="60"/>
      <c r="I75" s="60"/>
      <c r="J75" s="60"/>
      <c r="K75" s="60"/>
      <c r="L75" s="60"/>
      <c r="M75" s="60"/>
      <c r="N75" s="60"/>
      <c r="O75" s="60"/>
    </row>
    <row r="88" spans="4:15" ht="15">
      <c r="D88" s="48"/>
    </row>
    <row r="89" spans="4:15" ht="15.75">
      <c r="D89" s="70" t="s">
        <v>12</v>
      </c>
      <c r="E89" s="60"/>
      <c r="F89" s="60"/>
      <c r="G89" s="60"/>
      <c r="H89" s="71"/>
      <c r="I89" s="71"/>
      <c r="J89" s="60"/>
      <c r="K89" s="60"/>
      <c r="L89" s="60"/>
      <c r="M89" s="60"/>
      <c r="N89" s="60"/>
      <c r="O89" s="60"/>
    </row>
    <row r="90" spans="4:15" ht="15.75">
      <c r="D90" s="41" t="s">
        <v>96</v>
      </c>
      <c r="E90" s="41"/>
      <c r="F90" s="60"/>
      <c r="G90" s="41" t="s">
        <v>86</v>
      </c>
      <c r="H90" s="71"/>
      <c r="I90" s="71"/>
      <c r="J90" s="60"/>
      <c r="K90" s="60"/>
      <c r="L90" s="60"/>
      <c r="M90" s="60"/>
      <c r="N90" s="60"/>
      <c r="O90" s="60"/>
    </row>
    <row r="91" spans="4:15" ht="15.75">
      <c r="D91" s="41" t="s">
        <v>97</v>
      </c>
      <c r="E91" s="41"/>
      <c r="F91" s="60"/>
      <c r="G91" s="41" t="s">
        <v>98</v>
      </c>
      <c r="H91" s="71"/>
      <c r="I91" s="71"/>
      <c r="J91" s="60"/>
      <c r="K91" s="60"/>
      <c r="L91" s="60"/>
      <c r="M91" s="60"/>
      <c r="N91" s="60"/>
      <c r="O91" s="60"/>
    </row>
    <row r="92" spans="4:15" ht="15.75">
      <c r="D92" s="41" t="s">
        <v>99</v>
      </c>
      <c r="E92" s="41"/>
      <c r="F92" s="60"/>
      <c r="G92" s="41" t="s">
        <v>100</v>
      </c>
      <c r="H92" s="71"/>
      <c r="I92" s="60"/>
      <c r="J92" s="60"/>
      <c r="K92" s="60"/>
      <c r="L92" s="60"/>
      <c r="M92" s="60"/>
      <c r="N92" s="60"/>
      <c r="O92" s="60"/>
    </row>
    <row r="93" spans="4:15" ht="15.75">
      <c r="D93" s="41" t="s">
        <v>85</v>
      </c>
      <c r="E93" s="41"/>
      <c r="F93" s="60"/>
      <c r="G93" s="41" t="s">
        <v>101</v>
      </c>
      <c r="H93" s="72"/>
      <c r="I93" s="60"/>
      <c r="J93" s="60"/>
      <c r="K93" s="60"/>
      <c r="L93" s="60"/>
      <c r="M93" s="60"/>
      <c r="N93" s="60"/>
      <c r="O93" s="60"/>
    </row>
    <row r="94" spans="4:15" ht="15">
      <c r="D94" s="71"/>
      <c r="E94" s="60"/>
      <c r="F94" s="60"/>
      <c r="G94" s="60"/>
      <c r="H94" s="72"/>
      <c r="I94" s="60"/>
      <c r="J94" s="60"/>
      <c r="K94" s="60"/>
      <c r="L94" s="60"/>
      <c r="M94" s="60"/>
      <c r="N94" s="60"/>
      <c r="O94" s="60"/>
    </row>
    <row r="95" spans="4:15" ht="15.75">
      <c r="D95" s="142" t="s">
        <v>13</v>
      </c>
      <c r="E95" s="142"/>
      <c r="F95" s="142"/>
      <c r="G95" s="142"/>
      <c r="H95" s="142"/>
      <c r="I95" s="142"/>
      <c r="J95" s="142"/>
      <c r="K95" s="142"/>
      <c r="L95" s="142"/>
      <c r="M95" s="142"/>
      <c r="N95" s="142"/>
      <c r="O95" s="142"/>
    </row>
    <row r="96" spans="4:15" ht="15.75">
      <c r="D96" s="142" t="s">
        <v>14</v>
      </c>
      <c r="E96" s="142"/>
      <c r="F96" s="142"/>
      <c r="G96" s="142"/>
      <c r="H96" s="142"/>
      <c r="I96" s="142"/>
      <c r="J96" s="142"/>
      <c r="K96" s="142"/>
      <c r="L96" s="142"/>
      <c r="M96" s="142"/>
      <c r="N96" s="142"/>
      <c r="O96" s="142"/>
    </row>
  </sheetData>
  <mergeCells count="30">
    <mergeCell ref="F16:O16"/>
    <mergeCell ref="D6:O6"/>
    <mergeCell ref="D8:H8"/>
    <mergeCell ref="D11:M11"/>
    <mergeCell ref="D12:M12"/>
    <mergeCell ref="D13:M13"/>
    <mergeCell ref="E32:O32"/>
    <mergeCell ref="F17:O17"/>
    <mergeCell ref="H20:O20"/>
    <mergeCell ref="F21:G21"/>
    <mergeCell ref="H21:O21"/>
    <mergeCell ref="H23:O23"/>
    <mergeCell ref="E24:O24"/>
    <mergeCell ref="E26:O26"/>
    <mergeCell ref="E28:O28"/>
    <mergeCell ref="E30:O30"/>
    <mergeCell ref="E31:O31"/>
    <mergeCell ref="D96:O96"/>
    <mergeCell ref="D41:O41"/>
    <mergeCell ref="D42:O42"/>
    <mergeCell ref="E53:O53"/>
    <mergeCell ref="E54:O54"/>
    <mergeCell ref="E55:O55"/>
    <mergeCell ref="E57:O57"/>
    <mergeCell ref="E59:O59"/>
    <mergeCell ref="E61:O61"/>
    <mergeCell ref="E63:O63"/>
    <mergeCell ref="E65:O65"/>
    <mergeCell ref="D95:O95"/>
    <mergeCell ref="N70:O70"/>
  </mergeCells>
  <hyperlinks>
    <hyperlink ref="G39" r:id="rId1" xr:uid="{F8FB42FB-EDA6-4CD8-8024-20205A392C78}"/>
    <hyperlink ref="G93" r:id="rId2" xr:uid="{52406B63-A71F-42CE-9074-22555489FFB1}"/>
  </hyperlinks>
  <pageMargins left="0.7" right="0.34" top="0.53" bottom="0.47" header="0.3" footer="0.3"/>
  <pageSetup scale="63" orientation="portrait" r:id="rId3"/>
  <rowBreaks count="3" manualBreakCount="3">
    <brk id="42" max="16383" man="1"/>
    <brk id="45" min="3" max="14" man="1"/>
    <brk id="46" max="16383" man="1"/>
  </rowBreaks>
  <colBreaks count="3" manualBreakCount="3">
    <brk id="3" max="1048575" man="1"/>
    <brk id="4" max="1048575" man="1"/>
    <brk id="15" max="1048575" man="1"/>
  </colBreaks>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F801C-DCD3-4DC9-8FD3-EFC9C9402CE4}">
  <sheetPr>
    <pageSetUpPr fitToPage="1"/>
  </sheetPr>
  <dimension ref="A1:S93"/>
  <sheetViews>
    <sheetView view="pageBreakPreview" zoomScale="85" zoomScaleNormal="100" zoomScaleSheetLayoutView="85" workbookViewId="0">
      <selection activeCell="A2" sqref="A2"/>
    </sheetView>
  </sheetViews>
  <sheetFormatPr defaultColWidth="9.140625" defaultRowHeight="14.25"/>
  <cols>
    <col min="1" max="3" width="9.140625" style="47"/>
    <col min="4" max="4" width="4.28515625" style="47" customWidth="1"/>
    <col min="5" max="5" width="5.28515625" style="47" customWidth="1"/>
    <col min="6" max="6" width="15.85546875" style="47" customWidth="1"/>
    <col min="7" max="7" width="10.28515625" style="47" customWidth="1"/>
    <col min="8" max="9" width="9.140625" style="47"/>
    <col min="10" max="10" width="10.140625" style="47" customWidth="1"/>
    <col min="11" max="11" width="10.7109375" style="47" customWidth="1"/>
    <col min="12" max="14" width="9.140625" style="47"/>
    <col min="15" max="15" width="35.5703125" style="47" customWidth="1"/>
    <col min="16" max="16384" width="9.140625" style="47"/>
  </cols>
  <sheetData>
    <row r="1" spans="1:15" ht="27.6" customHeight="1" thickBot="1">
      <c r="A1" s="82" t="s">
        <v>223</v>
      </c>
    </row>
    <row r="4" spans="1:15" ht="15">
      <c r="D4" s="48"/>
    </row>
    <row r="5" spans="1:15" ht="15">
      <c r="D5" s="48"/>
    </row>
    <row r="6" spans="1:15" ht="15">
      <c r="D6" s="48"/>
    </row>
    <row r="7" spans="1:15" ht="15">
      <c r="D7" s="48"/>
    </row>
    <row r="8" spans="1:15" ht="15">
      <c r="D8" s="48"/>
    </row>
    <row r="9" spans="1:15" ht="15">
      <c r="D9" s="48"/>
    </row>
    <row r="10" spans="1:15" ht="15.75">
      <c r="D10" s="137" t="str">
        <f>_xlfn.XLOOKUP(A1,'Contract Data'!C:C,'Contract Data'!I:I)</f>
        <v>S/AGFZE/AL/PO/002/2026-27</v>
      </c>
      <c r="E10" s="137"/>
      <c r="F10" s="137"/>
      <c r="G10" s="137"/>
      <c r="H10" s="137"/>
      <c r="O10" s="85" t="str">
        <f>"DATE: "&amp;TEXT(_xlfn.XLOOKUP(A1,'Contract Data'!C:C,'Contract Data'!D:D),"dd/mm/yyyy")</f>
        <v>DATE: 08/04/2026</v>
      </c>
    </row>
    <row r="12" spans="1:15" ht="15.75">
      <c r="D12" s="59" t="str">
        <f>_xlfn.XLOOKUP(A1,'Contract Data'!C:C,'Contract Data'!H:H)</f>
        <v>PARAS OVERSEAS</v>
      </c>
      <c r="E12" s="59"/>
      <c r="F12" s="59"/>
      <c r="G12" s="59"/>
      <c r="H12" s="59"/>
      <c r="I12" s="60"/>
    </row>
    <row r="13" spans="1:15" ht="46.5" customHeight="1">
      <c r="D13" s="135" t="str">
        <f>_xlfn.XLOOKUP(A1,'Contract Data'!C:C,'Contract Data'!J:J)&amp;_xlfn.XLOOKUP(A1,'Contract Data'!C:C,'Contract Data'!K:K)</f>
        <v>1008, 10TH FLOOR, SUKHSAGAR COMPLEX, FORTUNE LANDMARK HOTEL, USMANPURA-380013, AHMEDABAD, INDIA</v>
      </c>
      <c r="E13" s="135"/>
      <c r="F13" s="135"/>
      <c r="G13" s="135"/>
      <c r="H13" s="135"/>
      <c r="I13" s="135"/>
      <c r="J13" s="135"/>
      <c r="K13" s="135"/>
      <c r="L13" s="135"/>
      <c r="M13" s="87"/>
    </row>
    <row r="14" spans="1:15" ht="51.75" customHeight="1">
      <c r="D14" s="135" t="str">
        <f>_xlfn.XLOOKUP(A1,'Contract Data'!C:C,'Contract Data'!M:M)&amp;", "&amp;_xlfn.XLOOKUP(A1,'Contract Data'!C:C,'Contract Data'!N:N)&amp;", "&amp;_xlfn.XLOOKUP(A1,'Contract Data'!C:C,'Contract Data'!O:O)&amp;", "&amp;_xlfn.XLOOKUP(A1,'Contract Data'!C:C,'Contract Data'!R:R)&amp;", "&amp;_xlfn.XLOOKUP(A1,'Contract Data'!C:C,'Contract Data'!Q:Q)</f>
        <v>IEC: 0814022944, PAN: AAQFP6007J, GST: 24AAQFP6007J1Z1, EMAIL: JAINAM@PARASGROUPS.IN, TEL: +91-9978050608</v>
      </c>
      <c r="E14" s="135"/>
      <c r="F14" s="135"/>
      <c r="G14" s="135"/>
      <c r="H14" s="135"/>
      <c r="I14" s="135"/>
      <c r="J14" s="135"/>
      <c r="K14" s="135"/>
      <c r="L14" s="135"/>
      <c r="M14" s="135"/>
    </row>
    <row r="15" spans="1:15" ht="15">
      <c r="D15" s="60"/>
      <c r="E15" s="86"/>
      <c r="F15" s="86"/>
      <c r="G15" s="86"/>
      <c r="H15" s="86"/>
      <c r="I15" s="86"/>
      <c r="J15" s="86"/>
      <c r="K15" s="86"/>
      <c r="L15" s="86"/>
      <c r="M15" s="86"/>
      <c r="N15" s="86"/>
      <c r="O15" s="86"/>
    </row>
    <row r="16" spans="1:15" ht="16.5" customHeight="1">
      <c r="D16" s="63"/>
      <c r="E16" s="86"/>
      <c r="F16" s="86"/>
      <c r="G16" s="86"/>
      <c r="H16" s="86"/>
      <c r="I16" s="86"/>
      <c r="J16" s="86"/>
      <c r="K16" s="86"/>
      <c r="L16" s="86"/>
      <c r="M16" s="86"/>
      <c r="N16" s="86"/>
      <c r="O16" s="86"/>
    </row>
    <row r="17" spans="4:15" ht="18">
      <c r="D17" s="136" t="s">
        <v>137</v>
      </c>
      <c r="E17" s="136"/>
      <c r="F17" s="136"/>
      <c r="G17" s="136"/>
      <c r="H17" s="136"/>
      <c r="I17" s="136"/>
      <c r="J17" s="136"/>
      <c r="K17" s="136"/>
      <c r="L17" s="136"/>
      <c r="M17" s="136"/>
      <c r="N17" s="136"/>
      <c r="O17" s="136"/>
    </row>
    <row r="18" spans="4:15" ht="15.75">
      <c r="D18" s="63"/>
      <c r="E18" s="86"/>
      <c r="F18" s="86"/>
      <c r="G18" s="86"/>
      <c r="H18" s="86"/>
      <c r="I18" s="86"/>
      <c r="J18" s="86"/>
      <c r="K18" s="86"/>
      <c r="L18" s="86"/>
      <c r="M18" s="86"/>
      <c r="N18" s="86"/>
      <c r="O18" s="86"/>
    </row>
    <row r="19" spans="4:15" ht="15">
      <c r="D19" s="60"/>
      <c r="E19" s="86"/>
      <c r="F19" s="86"/>
      <c r="G19" s="86"/>
      <c r="H19" s="86"/>
      <c r="I19" s="86"/>
      <c r="J19" s="86"/>
      <c r="K19" s="86"/>
      <c r="L19" s="86"/>
      <c r="M19" s="86"/>
      <c r="N19" s="86"/>
      <c r="O19" s="86"/>
    </row>
    <row r="20" spans="4:15" ht="33" customHeight="1">
      <c r="D20" s="156" t="s">
        <v>138</v>
      </c>
      <c r="E20" s="156"/>
      <c r="F20" s="156"/>
      <c r="G20" s="156"/>
      <c r="H20" s="156"/>
      <c r="I20" s="156"/>
      <c r="J20" s="115" t="s">
        <v>139</v>
      </c>
      <c r="K20" s="40"/>
      <c r="L20" s="175" t="s">
        <v>140</v>
      </c>
      <c r="M20" s="175"/>
      <c r="N20" s="116"/>
      <c r="O20" s="115" t="s">
        <v>141</v>
      </c>
    </row>
    <row r="21" spans="4:15" ht="15.75">
      <c r="D21" s="63"/>
      <c r="E21" s="86"/>
      <c r="F21" s="86"/>
      <c r="G21" s="86"/>
      <c r="H21" s="86"/>
      <c r="I21" s="86"/>
      <c r="J21" s="86"/>
      <c r="K21" s="86"/>
      <c r="L21" s="86"/>
      <c r="M21" s="86"/>
      <c r="N21" s="86"/>
      <c r="O21" s="86"/>
    </row>
    <row r="22" spans="4:15" ht="15">
      <c r="D22" s="176" t="str">
        <f>_xlfn.XLOOKUP(A1,'Contract Data'!C:C,'Contract Data'!S:S)</f>
        <v>ALUMINIUM SCRAP TALLY AS PER ISRI</v>
      </c>
      <c r="E22" s="176"/>
      <c r="F22" s="176"/>
      <c r="G22" s="176"/>
      <c r="H22" s="176"/>
      <c r="I22" s="176"/>
      <c r="J22" s="88">
        <f>_xlfn.XLOOKUP(A1,'Contract Data'!C:C,'Contract Data'!AA:AA)</f>
        <v>21</v>
      </c>
      <c r="K22" s="86"/>
      <c r="L22" s="177">
        <v>8600</v>
      </c>
      <c r="M22" s="177"/>
      <c r="N22" s="86"/>
      <c r="O22" s="93">
        <f>J22*L22</f>
        <v>180600</v>
      </c>
    </row>
    <row r="23" spans="4:15" ht="20.25" customHeight="1">
      <c r="D23" s="176"/>
      <c r="E23" s="176"/>
      <c r="F23" s="176"/>
      <c r="G23" s="176"/>
      <c r="H23" s="176"/>
      <c r="I23" s="176"/>
      <c r="J23" s="86"/>
      <c r="K23" s="86"/>
      <c r="L23" s="86"/>
      <c r="M23" s="86"/>
      <c r="N23" s="86"/>
      <c r="O23" s="86"/>
    </row>
    <row r="24" spans="4:15" ht="15.75">
      <c r="D24" s="63"/>
      <c r="E24" s="86"/>
      <c r="F24" s="86"/>
      <c r="G24" s="86"/>
      <c r="H24" s="86"/>
      <c r="I24" s="86"/>
      <c r="J24" s="86"/>
      <c r="K24" s="86"/>
      <c r="L24" s="86"/>
      <c r="M24" s="86"/>
      <c r="N24" s="86"/>
      <c r="O24" s="86"/>
    </row>
    <row r="25" spans="4:15" ht="15.75">
      <c r="D25" s="90" t="s">
        <v>142</v>
      </c>
      <c r="E25" s="91"/>
      <c r="F25" s="91"/>
      <c r="G25" s="91"/>
      <c r="H25" s="91"/>
      <c r="I25" s="91"/>
      <c r="J25" s="91"/>
      <c r="K25" s="91"/>
      <c r="L25" s="91"/>
      <c r="M25" s="91"/>
      <c r="N25" s="91"/>
      <c r="O25" s="94">
        <f>O22*10%</f>
        <v>18060</v>
      </c>
    </row>
    <row r="26" spans="4:15" ht="15.75">
      <c r="D26" s="32"/>
      <c r="E26" s="86"/>
      <c r="F26" s="86"/>
      <c r="G26" s="86"/>
      <c r="H26" s="86"/>
      <c r="I26" s="86"/>
      <c r="J26" s="86"/>
      <c r="K26" s="86"/>
      <c r="L26" s="86"/>
      <c r="M26" s="86"/>
      <c r="N26" s="86"/>
      <c r="O26" s="86"/>
    </row>
    <row r="27" spans="4:15" ht="19.5" customHeight="1">
      <c r="D27" s="32" t="s">
        <v>143</v>
      </c>
      <c r="E27" s="86"/>
      <c r="F27" s="86"/>
      <c r="G27" s="178" t="str">
        <f>_xlfn.XLOOKUP(A1,'Contract Data'!C:C,'Contract Data'!AF:AF)</f>
        <v>100% CAD THROUGH BANK</v>
      </c>
      <c r="H27" s="178"/>
      <c r="I27" s="178"/>
      <c r="J27" s="178"/>
      <c r="K27" s="178"/>
      <c r="L27" s="178"/>
      <c r="M27" s="178"/>
      <c r="N27" s="178"/>
      <c r="O27" s="178"/>
    </row>
    <row r="28" spans="4:15" ht="15.75">
      <c r="D28" s="81"/>
      <c r="E28" s="86"/>
      <c r="F28" s="86"/>
      <c r="G28" s="86"/>
      <c r="H28" s="86"/>
      <c r="I28" s="86"/>
      <c r="J28" s="86"/>
      <c r="K28" s="86"/>
      <c r="L28" s="86"/>
      <c r="M28" s="86"/>
      <c r="N28" s="86"/>
      <c r="O28" s="86"/>
    </row>
    <row r="29" spans="4:15" ht="15.75">
      <c r="D29" s="170" t="s">
        <v>144</v>
      </c>
      <c r="E29" s="170"/>
      <c r="F29" s="170"/>
      <c r="G29" s="170"/>
      <c r="H29" s="170"/>
      <c r="I29" s="89"/>
      <c r="J29" s="161"/>
      <c r="K29" s="162"/>
      <c r="L29" s="162"/>
      <c r="M29" s="162"/>
      <c r="N29" s="162"/>
      <c r="O29" s="163"/>
    </row>
    <row r="30" spans="4:15" ht="15.75">
      <c r="D30" s="157" t="s">
        <v>145</v>
      </c>
      <c r="E30" s="157"/>
      <c r="F30" s="157"/>
      <c r="G30" s="157"/>
      <c r="H30" s="157"/>
      <c r="I30" s="92" t="s">
        <v>152</v>
      </c>
      <c r="J30" s="158" t="s">
        <v>153</v>
      </c>
      <c r="K30" s="159"/>
      <c r="L30" s="159"/>
      <c r="M30" s="159"/>
      <c r="N30" s="159"/>
      <c r="O30" s="160"/>
    </row>
    <row r="31" spans="4:15" ht="15.75">
      <c r="D31" s="157" t="s">
        <v>146</v>
      </c>
      <c r="E31" s="157"/>
      <c r="F31" s="157"/>
      <c r="G31" s="157"/>
      <c r="H31" s="157"/>
      <c r="I31" s="92" t="s">
        <v>152</v>
      </c>
      <c r="J31" s="164" t="s">
        <v>163</v>
      </c>
      <c r="K31" s="165"/>
      <c r="L31" s="165"/>
      <c r="M31" s="165"/>
      <c r="N31" s="165"/>
      <c r="O31" s="166"/>
    </row>
    <row r="32" spans="4:15" ht="15.75">
      <c r="D32" s="157" t="s">
        <v>147</v>
      </c>
      <c r="E32" s="157"/>
      <c r="F32" s="157"/>
      <c r="G32" s="157"/>
      <c r="H32" s="157"/>
      <c r="I32" s="92" t="s">
        <v>152</v>
      </c>
      <c r="J32" s="167" t="s">
        <v>164</v>
      </c>
      <c r="K32" s="168"/>
      <c r="L32" s="168"/>
      <c r="M32" s="168"/>
      <c r="N32" s="168"/>
      <c r="O32" s="169"/>
    </row>
    <row r="33" spans="4:15" ht="15" customHeight="1">
      <c r="D33" s="157" t="s">
        <v>148</v>
      </c>
      <c r="E33" s="157"/>
      <c r="F33" s="157"/>
      <c r="G33" s="157"/>
      <c r="H33" s="157"/>
      <c r="I33" s="92" t="s">
        <v>152</v>
      </c>
      <c r="J33" s="164" t="s">
        <v>165</v>
      </c>
      <c r="K33" s="165"/>
      <c r="L33" s="165"/>
      <c r="M33" s="165"/>
      <c r="N33" s="165"/>
      <c r="O33" s="166"/>
    </row>
    <row r="34" spans="4:15" ht="15" customHeight="1">
      <c r="D34" s="157" t="s">
        <v>149</v>
      </c>
      <c r="E34" s="157"/>
      <c r="F34" s="157"/>
      <c r="G34" s="157"/>
      <c r="H34" s="157"/>
      <c r="I34" s="92" t="s">
        <v>152</v>
      </c>
      <c r="J34" s="158" t="s">
        <v>166</v>
      </c>
      <c r="K34" s="159"/>
      <c r="L34" s="159"/>
      <c r="M34" s="159"/>
      <c r="N34" s="159"/>
      <c r="O34" s="160"/>
    </row>
    <row r="35" spans="4:15" ht="15.75">
      <c r="D35" s="157" t="s">
        <v>151</v>
      </c>
      <c r="E35" s="157"/>
      <c r="F35" s="157"/>
      <c r="G35" s="157"/>
      <c r="H35" s="157"/>
      <c r="I35" s="92" t="s">
        <v>152</v>
      </c>
      <c r="J35" s="158" t="s">
        <v>167</v>
      </c>
      <c r="K35" s="159"/>
      <c r="L35" s="159"/>
      <c r="M35" s="159"/>
      <c r="N35" s="159"/>
      <c r="O35" s="160"/>
    </row>
    <row r="38" spans="4:15" ht="15.75">
      <c r="D38" s="32" t="s">
        <v>160</v>
      </c>
      <c r="L38" s="59" t="str">
        <f>D10&amp;" "&amp;O10</f>
        <v>S/AGFZE/AL/PO/002/2026-27 DATE: 08/04/2026</v>
      </c>
    </row>
    <row r="40" spans="4:15" ht="15.75">
      <c r="D40" s="81" t="s">
        <v>33</v>
      </c>
      <c r="E40" s="60"/>
      <c r="F40" s="60"/>
    </row>
    <row r="41" spans="4:15" ht="15">
      <c r="D41" s="69"/>
      <c r="E41" s="60"/>
      <c r="F41" s="60"/>
    </row>
    <row r="42" spans="4:15" ht="15">
      <c r="D42" s="69"/>
      <c r="E42" s="60"/>
      <c r="F42" s="60"/>
    </row>
    <row r="43" spans="4:15" ht="15">
      <c r="D43" s="69"/>
      <c r="E43" s="60"/>
      <c r="F43" s="60"/>
    </row>
    <row r="44" spans="4:15" ht="15.75">
      <c r="D44" s="32" t="s">
        <v>93</v>
      </c>
      <c r="E44" s="60"/>
      <c r="F44" s="60"/>
    </row>
    <row r="45" spans="4:15" ht="15.75">
      <c r="D45" s="32"/>
      <c r="E45" s="60"/>
      <c r="F45" s="60"/>
    </row>
    <row r="46" spans="4:15" ht="15.75">
      <c r="D46" s="70" t="s">
        <v>12</v>
      </c>
      <c r="E46" s="60"/>
      <c r="F46" s="60"/>
      <c r="G46" s="60"/>
      <c r="H46" s="71"/>
      <c r="I46" s="71"/>
      <c r="J46" s="60"/>
      <c r="K46" s="60"/>
      <c r="L46" s="60"/>
      <c r="M46" s="60"/>
      <c r="N46" s="60"/>
      <c r="O46" s="60"/>
    </row>
    <row r="47" spans="4:15" ht="15.75">
      <c r="D47" s="41" t="s">
        <v>96</v>
      </c>
      <c r="E47" s="41"/>
      <c r="F47" s="60"/>
      <c r="G47" s="41" t="s">
        <v>86</v>
      </c>
      <c r="H47" s="71"/>
      <c r="I47" s="71"/>
      <c r="J47" s="60"/>
      <c r="K47" s="60"/>
      <c r="L47" s="60"/>
      <c r="M47" s="60"/>
      <c r="N47" s="60"/>
      <c r="O47" s="60"/>
    </row>
    <row r="48" spans="4:15" ht="15.75">
      <c r="D48" s="41" t="s">
        <v>97</v>
      </c>
      <c r="E48" s="41"/>
      <c r="F48" s="60"/>
      <c r="G48" s="41" t="s">
        <v>98</v>
      </c>
      <c r="H48" s="71"/>
      <c r="I48" s="71"/>
      <c r="J48" s="60"/>
      <c r="K48" s="60"/>
      <c r="L48" s="60"/>
      <c r="M48" s="60"/>
      <c r="N48" s="60"/>
      <c r="O48" s="60"/>
    </row>
    <row r="49" spans="4:15" ht="15.75">
      <c r="D49" s="41" t="s">
        <v>99</v>
      </c>
      <c r="E49" s="41"/>
      <c r="F49" s="60"/>
      <c r="G49" s="41" t="s">
        <v>100</v>
      </c>
      <c r="H49" s="71"/>
      <c r="I49" s="60"/>
      <c r="J49" s="60"/>
      <c r="K49" s="60"/>
      <c r="L49" s="60"/>
      <c r="M49" s="60"/>
      <c r="N49" s="60"/>
      <c r="O49" s="60"/>
    </row>
    <row r="50" spans="4:15" ht="15.75">
      <c r="D50" s="41" t="s">
        <v>85</v>
      </c>
      <c r="E50" s="41"/>
      <c r="F50" s="60"/>
      <c r="G50" s="41" t="s">
        <v>101</v>
      </c>
      <c r="H50" s="72"/>
      <c r="I50" s="60"/>
      <c r="J50" s="60"/>
      <c r="K50" s="60"/>
      <c r="L50" s="60"/>
      <c r="M50" s="60"/>
      <c r="N50" s="60"/>
      <c r="O50" s="60"/>
    </row>
    <row r="51" spans="4:15" ht="15">
      <c r="D51" s="71"/>
      <c r="E51" s="60"/>
      <c r="F51" s="60"/>
      <c r="G51" s="60"/>
      <c r="H51" s="72"/>
      <c r="I51" s="60"/>
      <c r="J51" s="60"/>
      <c r="K51" s="60"/>
      <c r="L51" s="60"/>
      <c r="M51" s="60"/>
      <c r="N51" s="60"/>
      <c r="O51" s="60"/>
    </row>
    <row r="52" spans="4:15" ht="15.75">
      <c r="D52" s="142" t="s">
        <v>13</v>
      </c>
      <c r="E52" s="142"/>
      <c r="F52" s="142"/>
      <c r="G52" s="142"/>
      <c r="H52" s="142"/>
      <c r="I52" s="142"/>
      <c r="J52" s="142"/>
      <c r="K52" s="142"/>
      <c r="L52" s="142"/>
      <c r="M52" s="142"/>
      <c r="N52" s="142"/>
      <c r="O52" s="142"/>
    </row>
    <row r="53" spans="4:15" ht="15.75">
      <c r="D53" s="142" t="s">
        <v>14</v>
      </c>
      <c r="E53" s="142"/>
      <c r="F53" s="142"/>
      <c r="G53" s="142"/>
      <c r="H53" s="142"/>
      <c r="I53" s="142"/>
      <c r="J53" s="142"/>
      <c r="K53" s="142"/>
      <c r="L53" s="142"/>
      <c r="M53" s="142"/>
      <c r="N53" s="142"/>
      <c r="O53" s="142"/>
    </row>
    <row r="58" spans="4:15">
      <c r="D58" s="95" t="s">
        <v>161</v>
      </c>
      <c r="E58" s="95"/>
    </row>
    <row r="60" spans="4:15" ht="15.75">
      <c r="D60" s="170" t="s">
        <v>144</v>
      </c>
      <c r="E60" s="170"/>
      <c r="F60" s="170"/>
      <c r="G60" s="170"/>
      <c r="H60" s="170"/>
      <c r="I60" s="89"/>
      <c r="J60" s="171"/>
      <c r="K60" s="171"/>
      <c r="L60" s="171"/>
      <c r="M60" s="171"/>
      <c r="N60" s="171"/>
      <c r="O60" s="171"/>
    </row>
    <row r="61" spans="4:15" ht="15.75">
      <c r="D61" s="157" t="s">
        <v>145</v>
      </c>
      <c r="E61" s="157"/>
      <c r="F61" s="157"/>
      <c r="G61" s="157"/>
      <c r="H61" s="157"/>
      <c r="I61" s="92" t="s">
        <v>152</v>
      </c>
      <c r="J61" s="172" t="s">
        <v>153</v>
      </c>
      <c r="K61" s="172"/>
      <c r="L61" s="172"/>
      <c r="M61" s="172"/>
      <c r="N61" s="172"/>
      <c r="O61" s="172"/>
    </row>
    <row r="62" spans="4:15" ht="15.75">
      <c r="D62" s="172" t="s">
        <v>150</v>
      </c>
      <c r="E62" s="172"/>
      <c r="F62" s="172"/>
      <c r="G62" s="172"/>
      <c r="H62" s="172"/>
      <c r="I62" s="92" t="s">
        <v>152</v>
      </c>
      <c r="J62" s="173" t="s">
        <v>154</v>
      </c>
      <c r="K62" s="173"/>
      <c r="L62" s="173"/>
      <c r="M62" s="173"/>
      <c r="N62" s="173"/>
      <c r="O62" s="173"/>
    </row>
    <row r="63" spans="4:15" ht="15.75">
      <c r="D63" s="157" t="s">
        <v>146</v>
      </c>
      <c r="E63" s="157"/>
      <c r="F63" s="157"/>
      <c r="G63" s="157"/>
      <c r="H63" s="157"/>
      <c r="I63" s="92" t="s">
        <v>152</v>
      </c>
      <c r="J63" s="172" t="s">
        <v>155</v>
      </c>
      <c r="K63" s="172"/>
      <c r="L63" s="172"/>
      <c r="M63" s="172"/>
      <c r="N63" s="172"/>
      <c r="O63" s="172"/>
    </row>
    <row r="64" spans="4:15" ht="15.75">
      <c r="D64" s="157" t="s">
        <v>147</v>
      </c>
      <c r="E64" s="157"/>
      <c r="F64" s="157"/>
      <c r="G64" s="157"/>
      <c r="H64" s="157"/>
      <c r="I64" s="92" t="s">
        <v>152</v>
      </c>
      <c r="J64" s="174" t="s">
        <v>156</v>
      </c>
      <c r="K64" s="174"/>
      <c r="L64" s="174"/>
      <c r="M64" s="174"/>
      <c r="N64" s="174"/>
      <c r="O64" s="174"/>
    </row>
    <row r="65" spans="4:15" ht="15.75">
      <c r="D65" s="157" t="s">
        <v>148</v>
      </c>
      <c r="E65" s="157"/>
      <c r="F65" s="157"/>
      <c r="G65" s="157"/>
      <c r="H65" s="157"/>
      <c r="I65" s="92" t="s">
        <v>152</v>
      </c>
      <c r="J65" s="173" t="s">
        <v>157</v>
      </c>
      <c r="K65" s="173"/>
      <c r="L65" s="173"/>
      <c r="M65" s="173"/>
      <c r="N65" s="173"/>
      <c r="O65" s="173"/>
    </row>
    <row r="66" spans="4:15" ht="15.75">
      <c r="D66" s="157" t="s">
        <v>149</v>
      </c>
      <c r="E66" s="157"/>
      <c r="F66" s="157"/>
      <c r="G66" s="157"/>
      <c r="H66" s="157"/>
      <c r="I66" s="92" t="s">
        <v>152</v>
      </c>
      <c r="J66" s="172" t="s">
        <v>158</v>
      </c>
      <c r="K66" s="172"/>
      <c r="L66" s="172"/>
      <c r="M66" s="172"/>
      <c r="N66" s="172"/>
      <c r="O66" s="172"/>
    </row>
    <row r="67" spans="4:15" ht="15.75">
      <c r="D67" s="157" t="s">
        <v>151</v>
      </c>
      <c r="E67" s="157"/>
      <c r="F67" s="157"/>
      <c r="G67" s="157"/>
      <c r="H67" s="157"/>
      <c r="I67" s="92" t="s">
        <v>152</v>
      </c>
      <c r="J67" s="172" t="s">
        <v>159</v>
      </c>
      <c r="K67" s="172"/>
      <c r="L67" s="172"/>
      <c r="M67" s="172"/>
      <c r="N67" s="172"/>
      <c r="O67" s="172"/>
    </row>
    <row r="71" spans="4:15">
      <c r="D71" s="95" t="s">
        <v>162</v>
      </c>
      <c r="E71" s="95"/>
    </row>
    <row r="73" spans="4:15" ht="15.75">
      <c r="D73" s="170" t="s">
        <v>144</v>
      </c>
      <c r="E73" s="170"/>
      <c r="F73" s="170"/>
      <c r="G73" s="170"/>
      <c r="H73" s="170"/>
      <c r="I73" s="89"/>
      <c r="J73" s="171"/>
      <c r="K73" s="171"/>
      <c r="L73" s="171"/>
      <c r="M73" s="171"/>
      <c r="N73" s="171"/>
      <c r="O73" s="171"/>
    </row>
    <row r="74" spans="4:15" ht="15.75">
      <c r="D74" s="157" t="s">
        <v>145</v>
      </c>
      <c r="E74" s="157"/>
      <c r="F74" s="157"/>
      <c r="G74" s="157"/>
      <c r="H74" s="157"/>
      <c r="I74" s="92" t="s">
        <v>152</v>
      </c>
      <c r="J74" s="172" t="s">
        <v>153</v>
      </c>
      <c r="K74" s="172"/>
      <c r="L74" s="172"/>
      <c r="M74" s="172"/>
      <c r="N74" s="172"/>
      <c r="O74" s="172"/>
    </row>
    <row r="75" spans="4:15" ht="15.75">
      <c r="D75" s="172" t="s">
        <v>150</v>
      </c>
      <c r="E75" s="172"/>
      <c r="F75" s="172"/>
      <c r="G75" s="172"/>
      <c r="H75" s="172"/>
      <c r="I75" s="92" t="s">
        <v>152</v>
      </c>
      <c r="J75" s="173"/>
      <c r="K75" s="173"/>
      <c r="L75" s="173"/>
      <c r="M75" s="173"/>
      <c r="N75" s="173"/>
      <c r="O75" s="173"/>
    </row>
    <row r="76" spans="4:15" ht="15.75">
      <c r="D76" s="157" t="s">
        <v>146</v>
      </c>
      <c r="E76" s="157"/>
      <c r="F76" s="157"/>
      <c r="G76" s="157"/>
      <c r="H76" s="157"/>
      <c r="I76" s="92" t="s">
        <v>152</v>
      </c>
      <c r="J76" s="173" t="s">
        <v>163</v>
      </c>
      <c r="K76" s="173"/>
      <c r="L76" s="173"/>
      <c r="M76" s="173"/>
      <c r="N76" s="173"/>
      <c r="O76" s="173"/>
    </row>
    <row r="77" spans="4:15" ht="15.75">
      <c r="D77" s="157" t="s">
        <v>147</v>
      </c>
      <c r="E77" s="157"/>
      <c r="F77" s="157"/>
      <c r="G77" s="157"/>
      <c r="H77" s="157"/>
      <c r="I77" s="92" t="s">
        <v>152</v>
      </c>
      <c r="J77" s="174" t="s">
        <v>164</v>
      </c>
      <c r="K77" s="174"/>
      <c r="L77" s="174"/>
      <c r="M77" s="174"/>
      <c r="N77" s="174"/>
      <c r="O77" s="174"/>
    </row>
    <row r="78" spans="4:15" ht="15.75">
      <c r="D78" s="157" t="s">
        <v>148</v>
      </c>
      <c r="E78" s="157"/>
      <c r="F78" s="157"/>
      <c r="G78" s="157"/>
      <c r="H78" s="157"/>
      <c r="I78" s="92" t="s">
        <v>152</v>
      </c>
      <c r="J78" s="173" t="s">
        <v>165</v>
      </c>
      <c r="K78" s="173"/>
      <c r="L78" s="173"/>
      <c r="M78" s="173"/>
      <c r="N78" s="173"/>
      <c r="O78" s="173"/>
    </row>
    <row r="79" spans="4:15" ht="15.75">
      <c r="D79" s="157" t="s">
        <v>149</v>
      </c>
      <c r="E79" s="157"/>
      <c r="F79" s="157"/>
      <c r="G79" s="157"/>
      <c r="H79" s="157"/>
      <c r="I79" s="92" t="s">
        <v>152</v>
      </c>
      <c r="J79" s="172" t="s">
        <v>166</v>
      </c>
      <c r="K79" s="172"/>
      <c r="L79" s="172"/>
      <c r="M79" s="172"/>
      <c r="N79" s="172"/>
      <c r="O79" s="172"/>
    </row>
    <row r="80" spans="4:15" ht="15.75">
      <c r="D80" s="157" t="s">
        <v>151</v>
      </c>
      <c r="E80" s="157"/>
      <c r="F80" s="157"/>
      <c r="G80" s="157"/>
      <c r="H80" s="157"/>
      <c r="I80" s="92" t="s">
        <v>152</v>
      </c>
      <c r="J80" s="172" t="s">
        <v>167</v>
      </c>
      <c r="K80" s="172"/>
      <c r="L80" s="172"/>
      <c r="M80" s="172"/>
      <c r="N80" s="172"/>
      <c r="O80" s="172"/>
    </row>
    <row r="84" spans="4:19">
      <c r="D84" s="95" t="s">
        <v>168</v>
      </c>
      <c r="E84" s="95"/>
    </row>
    <row r="86" spans="4:19" ht="15.75">
      <c r="D86" s="170" t="s">
        <v>144</v>
      </c>
      <c r="E86" s="170"/>
      <c r="F86" s="170"/>
      <c r="G86" s="170"/>
      <c r="H86" s="170"/>
      <c r="I86" s="89"/>
      <c r="J86" s="171"/>
      <c r="K86" s="171"/>
      <c r="L86" s="171"/>
      <c r="M86" s="171"/>
      <c r="N86" s="171"/>
      <c r="O86" s="171"/>
    </row>
    <row r="87" spans="4:19" ht="15.75">
      <c r="D87" s="157" t="s">
        <v>145</v>
      </c>
      <c r="E87" s="157"/>
      <c r="F87" s="157"/>
      <c r="G87" s="157"/>
      <c r="H87" s="157"/>
      <c r="I87" s="92" t="s">
        <v>152</v>
      </c>
      <c r="J87" s="172" t="s">
        <v>153</v>
      </c>
      <c r="K87" s="172"/>
      <c r="L87" s="172"/>
      <c r="M87" s="172"/>
      <c r="N87" s="172"/>
      <c r="O87" s="172"/>
    </row>
    <row r="88" spans="4:19" ht="15.75">
      <c r="D88" s="172" t="s">
        <v>150</v>
      </c>
      <c r="E88" s="172"/>
      <c r="F88" s="172"/>
      <c r="G88" s="172"/>
      <c r="H88" s="172"/>
      <c r="I88" s="92" t="s">
        <v>152</v>
      </c>
      <c r="J88" s="173"/>
      <c r="K88" s="173"/>
      <c r="L88" s="173"/>
      <c r="M88" s="173"/>
      <c r="N88" s="173"/>
      <c r="O88" s="173"/>
    </row>
    <row r="89" spans="4:19" ht="15.75">
      <c r="D89" s="157" t="s">
        <v>146</v>
      </c>
      <c r="E89" s="157"/>
      <c r="F89" s="157"/>
      <c r="G89" s="157"/>
      <c r="H89" s="157"/>
      <c r="I89" s="92" t="s">
        <v>152</v>
      </c>
      <c r="J89" s="173" t="s">
        <v>173</v>
      </c>
      <c r="K89" s="173"/>
      <c r="L89" s="173"/>
      <c r="M89" s="173"/>
      <c r="N89" s="173"/>
      <c r="O89" s="173"/>
    </row>
    <row r="90" spans="4:19" ht="15.75">
      <c r="D90" s="157" t="s">
        <v>147</v>
      </c>
      <c r="E90" s="157"/>
      <c r="F90" s="157"/>
      <c r="G90" s="157"/>
      <c r="H90" s="157"/>
      <c r="I90" s="92" t="s">
        <v>152</v>
      </c>
      <c r="J90" s="174" t="s">
        <v>172</v>
      </c>
      <c r="K90" s="174"/>
      <c r="L90" s="174"/>
      <c r="M90" s="174"/>
      <c r="N90" s="174"/>
      <c r="O90" s="174"/>
      <c r="Q90" s="1"/>
    </row>
    <row r="91" spans="4:19" ht="15.75">
      <c r="D91" s="157" t="s">
        <v>148</v>
      </c>
      <c r="E91" s="157"/>
      <c r="F91" s="157"/>
      <c r="G91" s="157"/>
      <c r="H91" s="157"/>
      <c r="I91" s="92" t="s">
        <v>152</v>
      </c>
      <c r="J91" s="172" t="s">
        <v>169</v>
      </c>
      <c r="K91" s="172"/>
      <c r="L91" s="172"/>
      <c r="M91" s="172"/>
      <c r="N91" s="172"/>
      <c r="O91" s="172"/>
      <c r="S91" s="96"/>
    </row>
    <row r="92" spans="4:19" ht="15.75">
      <c r="D92" s="157" t="s">
        <v>149</v>
      </c>
      <c r="E92" s="157"/>
      <c r="F92" s="157"/>
      <c r="G92" s="157"/>
      <c r="H92" s="157"/>
      <c r="I92" s="92" t="s">
        <v>152</v>
      </c>
      <c r="J92" s="172" t="s">
        <v>171</v>
      </c>
      <c r="K92" s="172"/>
      <c r="L92" s="172"/>
      <c r="M92" s="172"/>
      <c r="N92" s="172"/>
      <c r="O92" s="172"/>
      <c r="S92" s="96"/>
    </row>
    <row r="93" spans="4:19" ht="15.75">
      <c r="D93" s="157" t="s">
        <v>151</v>
      </c>
      <c r="E93" s="157"/>
      <c r="F93" s="157"/>
      <c r="G93" s="157"/>
      <c r="H93" s="157"/>
      <c r="I93" s="92" t="s">
        <v>152</v>
      </c>
      <c r="J93" s="172" t="s">
        <v>170</v>
      </c>
      <c r="K93" s="172"/>
      <c r="L93" s="172"/>
      <c r="M93" s="172"/>
      <c r="N93" s="172"/>
      <c r="O93" s="172"/>
      <c r="S93" s="96"/>
    </row>
  </sheetData>
  <mergeCells count="73">
    <mergeCell ref="D87:H87"/>
    <mergeCell ref="J87:O87"/>
    <mergeCell ref="D88:H88"/>
    <mergeCell ref="J88:O88"/>
    <mergeCell ref="D89:H89"/>
    <mergeCell ref="J89:O89"/>
    <mergeCell ref="D93:H93"/>
    <mergeCell ref="J93:O93"/>
    <mergeCell ref="D90:H90"/>
    <mergeCell ref="J90:O90"/>
    <mergeCell ref="D91:H91"/>
    <mergeCell ref="J91:O91"/>
    <mergeCell ref="D92:H92"/>
    <mergeCell ref="J92:O92"/>
    <mergeCell ref="J79:O79"/>
    <mergeCell ref="D80:H80"/>
    <mergeCell ref="J80:O80"/>
    <mergeCell ref="D86:H86"/>
    <mergeCell ref="J86:O86"/>
    <mergeCell ref="D79:H79"/>
    <mergeCell ref="D76:H76"/>
    <mergeCell ref="J76:O76"/>
    <mergeCell ref="D77:H77"/>
    <mergeCell ref="J77:O77"/>
    <mergeCell ref="D78:H78"/>
    <mergeCell ref="J78:O78"/>
    <mergeCell ref="D10:H10"/>
    <mergeCell ref="D60:H60"/>
    <mergeCell ref="J60:O60"/>
    <mergeCell ref="D61:H61"/>
    <mergeCell ref="J61:O61"/>
    <mergeCell ref="D13:L13"/>
    <mergeCell ref="D14:M14"/>
    <mergeCell ref="D17:O17"/>
    <mergeCell ref="L20:M20"/>
    <mergeCell ref="D22:I23"/>
    <mergeCell ref="L22:M22"/>
    <mergeCell ref="G27:O27"/>
    <mergeCell ref="D29:H29"/>
    <mergeCell ref="D30:H30"/>
    <mergeCell ref="J30:O30"/>
    <mergeCell ref="D53:O53"/>
    <mergeCell ref="D62:H62"/>
    <mergeCell ref="J62:O62"/>
    <mergeCell ref="D63:H63"/>
    <mergeCell ref="J63:O63"/>
    <mergeCell ref="D64:H64"/>
    <mergeCell ref="J64:O64"/>
    <mergeCell ref="D65:H65"/>
    <mergeCell ref="J65:O65"/>
    <mergeCell ref="D66:H66"/>
    <mergeCell ref="J66:O66"/>
    <mergeCell ref="D67:H67"/>
    <mergeCell ref="J67:O67"/>
    <mergeCell ref="D73:H73"/>
    <mergeCell ref="J73:O73"/>
    <mergeCell ref="D74:H74"/>
    <mergeCell ref="J74:O74"/>
    <mergeCell ref="D75:H75"/>
    <mergeCell ref="J75:O75"/>
    <mergeCell ref="D52:O52"/>
    <mergeCell ref="D31:H31"/>
    <mergeCell ref="J31:O31"/>
    <mergeCell ref="D32:H32"/>
    <mergeCell ref="J32:O32"/>
    <mergeCell ref="D33:H33"/>
    <mergeCell ref="J33:O33"/>
    <mergeCell ref="D20:I20"/>
    <mergeCell ref="D34:H34"/>
    <mergeCell ref="J34:O34"/>
    <mergeCell ref="D35:H35"/>
    <mergeCell ref="J35:O35"/>
    <mergeCell ref="J29:O29"/>
  </mergeCells>
  <hyperlinks>
    <hyperlink ref="G50" r:id="rId1" xr:uid="{15EFE6D2-9E20-45FD-B9EC-F3B9A9ACA1C7}"/>
  </hyperlinks>
  <pageMargins left="0.7" right="0.56999999999999995" top="0.53" bottom="0.47" header="0.3" footer="0.3"/>
  <pageSetup scale="66"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B246A-7AC5-409F-9C79-0D88540EFCC6}">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Contract Data</vt:lpstr>
      <vt:lpstr>India - Fix</vt:lpstr>
      <vt:lpstr>INDIA (QP)</vt:lpstr>
      <vt:lpstr>INDIA (FIXED RATE)</vt:lpstr>
      <vt:lpstr>CHINA (QP)</vt:lpstr>
      <vt:lpstr>CHINA (FIXED RATE)</vt:lpstr>
      <vt:lpstr>PERFORMA INVOICE</vt:lpstr>
      <vt:lpstr>Sheet1</vt:lpstr>
      <vt:lpstr>'India - Fix'!_Hlk89177313</vt:lpstr>
      <vt:lpstr>'CHINA (FIXED RATE)'!Print_Area</vt:lpstr>
      <vt:lpstr>'CHINA (QP)'!Print_Area</vt:lpstr>
      <vt:lpstr>'INDIA (FIXED RATE)'!Print_Area</vt:lpstr>
      <vt:lpstr>'INDIA (QP)'!Print_Area</vt:lpstr>
      <vt:lpstr>'PERFORMA INVOICE'!Print_Area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Kaushal Divyangbhai Pandya</dc:creator>
  <cp:lastModifiedBy>Karan Desai</cp:lastModifiedBy>
  <cp:lastPrinted>2026-04-17T09:10:45Z</cp:lastPrinted>
  <dcterms:created xsi:type="dcterms:W3CDTF">2026-01-20T08:10:06Z</dcterms:created>
  <dcterms:modified xsi:type="dcterms:W3CDTF">2026-06-06T11:20:52Z</dcterms:modified>
</cp:coreProperties>
</file>