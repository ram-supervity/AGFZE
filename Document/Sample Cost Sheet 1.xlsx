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anio365csp-my.sharepoint.com/personal/40000089_adani_in/Documents/AGFZE - Scrap Metal Automation/Purchase Docs/"/>
    </mc:Choice>
  </mc:AlternateContent>
  <xr:revisionPtr revIDLastSave="1046" documentId="13_ncr:1_{CEDD4527-1ACB-4B07-B3BC-AE1E06EFB24D}" xr6:coauthVersionLast="47" xr6:coauthVersionMax="47" xr10:uidLastSave="{C9864974-6E24-4A5B-A1D8-211E965E117F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Sheet1!$A$1:$M$48</definedName>
    <definedName name="_xlnm.Print_Area" localSheetId="1">Sheet2!$A$1:$J$61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" i="1" l="1"/>
  <c r="D34" i="1"/>
  <c r="D10" i="1"/>
  <c r="E34" i="1"/>
  <c r="E10" i="1" l="1"/>
  <c r="A10" i="1" l="1"/>
  <c r="D6" i="2" l="1"/>
  <c r="D7" i="2" l="1"/>
  <c r="D8" i="2" s="1"/>
  <c r="F80" i="1"/>
  <c r="E1" i="2" l="1"/>
  <c r="I15" i="3"/>
  <c r="I13" i="3"/>
  <c r="E24" i="1" l="1"/>
  <c r="E25" i="1"/>
  <c r="E44" i="1"/>
  <c r="E22" i="1" s="1"/>
  <c r="H48" i="1"/>
  <c r="E26" i="1" l="1"/>
  <c r="E30" i="1" s="1"/>
  <c r="D30" i="1" l="1"/>
  <c r="E46" i="1"/>
  <c r="E51" i="1" s="1"/>
  <c r="D61" i="2"/>
  <c r="H49" i="1" s="1"/>
  <c r="B61" i="2"/>
  <c r="E50" i="1" l="1"/>
</calcChain>
</file>

<file path=xl/sharedStrings.xml><?xml version="1.0" encoding="utf-8"?>
<sst xmlns="http://schemas.openxmlformats.org/spreadsheetml/2006/main" count="64" uniqueCount="54">
  <si>
    <t>PURCHASE :</t>
  </si>
  <si>
    <t>COMMODITY:</t>
  </si>
  <si>
    <t>PURCHASE</t>
  </si>
  <si>
    <t>QNTY</t>
  </si>
  <si>
    <t>RATE</t>
  </si>
  <si>
    <t>AMOUNT</t>
  </si>
  <si>
    <t>B/L+ FORWARDING</t>
  </si>
  <si>
    <t>INSURANCE</t>
  </si>
  <si>
    <t>Certificate of Origin</t>
  </si>
  <si>
    <t>SALES.COMM</t>
  </si>
  <si>
    <t>TOTAL</t>
  </si>
  <si>
    <t xml:space="preserve">SALES  </t>
  </si>
  <si>
    <t>DETAILS</t>
  </si>
  <si>
    <t>OTHERS</t>
  </si>
  <si>
    <t>DATE</t>
  </si>
  <si>
    <t>STEVEDORING CHARGES</t>
  </si>
  <si>
    <t xml:space="preserve"> </t>
  </si>
  <si>
    <t>PSI Certificate</t>
  </si>
  <si>
    <t>PAYMENTS</t>
  </si>
  <si>
    <t>COST</t>
  </si>
  <si>
    <t>FRT</t>
  </si>
  <si>
    <t>TRANSPORT</t>
  </si>
  <si>
    <t>COMM</t>
  </si>
  <si>
    <t>SIGN</t>
  </si>
  <si>
    <t>SALES</t>
  </si>
  <si>
    <t>CONTS</t>
  </si>
  <si>
    <t>WEIGHT</t>
  </si>
  <si>
    <t>PRICE</t>
  </si>
  <si>
    <t>REMARKS</t>
  </si>
  <si>
    <t xml:space="preserve">       COST SHEET - PAGE 1</t>
  </si>
  <si>
    <t>SOLD TO</t>
  </si>
  <si>
    <t>Rail car</t>
  </si>
  <si>
    <t xml:space="preserve">forwarding </t>
  </si>
  <si>
    <t>T C NO.</t>
  </si>
  <si>
    <t>BATCH NO.</t>
  </si>
  <si>
    <t>SWITCHING</t>
  </si>
  <si>
    <t>PAYMENT TERM</t>
  </si>
  <si>
    <t>RATE GBP</t>
  </si>
  <si>
    <t>USD</t>
  </si>
  <si>
    <t>AMOUNT USD</t>
  </si>
  <si>
    <t>HAULAGE CHARGES</t>
  </si>
  <si>
    <t>INTEREST + BANKING CHARGES</t>
  </si>
  <si>
    <t xml:space="preserve">LME Purchase hedge </t>
  </si>
  <si>
    <t xml:space="preserve">LME Purchase sqaure off </t>
  </si>
  <si>
    <t xml:space="preserve">100% AGAINST LOADING </t>
  </si>
  <si>
    <t>AMOUNT - USD</t>
  </si>
  <si>
    <t>MRSU0248647</t>
  </si>
  <si>
    <t>F INV-30250289</t>
  </si>
  <si>
    <t>COPPER SCRAP MILLBERRY</t>
  </si>
  <si>
    <t>NIZMET</t>
  </si>
  <si>
    <t>CONTRACT NO: NT-S-260400803</t>
  </si>
  <si>
    <t>Purchase No. 642</t>
  </si>
  <si>
    <t>TBD</t>
  </si>
  <si>
    <t>PAYMENT AGAINST F. INVOICE 260100705-005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</si>
</sst>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00"/>
    <numFmt numFmtId="168" formatCode="_(* #,##0.000_);_(* \(#,##0.000\);_(* &quot;-&quot;??_);_(@_)"/>
    <numFmt numFmtId="169" formatCode="[$-409]d\-mmm\-yy;@"/>
    <numFmt numFmtId="170" formatCode="_(* #,##0_);_(* \(#,##0\);_(* &quot;-&quot;??_);_(@_)"/>
    <numFmt numFmtId="171" formatCode="0.0000"/>
  </numFmts>
  <fonts count="3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color indexed="1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dani Regular"/>
      <family val="3"/>
    </font>
    <font>
      <sz val="11"/>
      <color rgb="FFFF0000"/>
      <name val="Arial"/>
      <family val="2"/>
    </font>
    <font>
      <b/>
      <u val="singleAccounting"/>
      <sz val="11"/>
      <name val="Arial"/>
      <family val="2"/>
    </font>
    <font>
      <sz val="11"/>
      <color theme="1"/>
      <name val="Arial"/>
      <family val="2"/>
    </font>
    <font>
      <sz val="10"/>
      <name val="Adani Regular"/>
      <family val="3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dani Light"/>
    </font>
    <font>
      <sz val="10.5"/>
      <name val="Arial"/>
      <family val="2"/>
    </font>
    <font>
      <sz val="10"/>
      <name val="Arial"/>
      <family val="2"/>
    </font>
    <font>
      <b/>
      <sz val="10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166" fontId="0" fillId="0" borderId="0" xfId="0" applyNumberFormat="1"/>
    <xf numFmtId="0" fontId="4" fillId="0" borderId="0" xfId="0" applyFont="1"/>
    <xf numFmtId="0" fontId="3" fillId="0" borderId="3" xfId="0" applyFont="1" applyBorder="1"/>
    <xf numFmtId="0" fontId="6" fillId="0" borderId="0" xfId="0" applyFont="1"/>
    <xf numFmtId="0" fontId="6" fillId="0" borderId="4" xfId="0" applyFont="1" applyBorder="1"/>
    <xf numFmtId="0" fontId="6" fillId="0" borderId="5" xfId="0" applyFont="1" applyBorder="1"/>
    <xf numFmtId="0" fontId="5" fillId="0" borderId="6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7" fillId="0" borderId="9" xfId="0" applyFont="1" applyBorder="1"/>
    <xf numFmtId="0" fontId="7" fillId="0" borderId="3" xfId="0" applyFont="1" applyBorder="1"/>
    <xf numFmtId="0" fontId="7" fillId="0" borderId="0" xfId="0" applyFont="1"/>
    <xf numFmtId="0" fontId="7" fillId="0" borderId="7" xfId="0" applyFont="1" applyBorder="1"/>
    <xf numFmtId="0" fontId="8" fillId="0" borderId="0" xfId="0" applyFont="1" applyAlignment="1">
      <alignment horizontal="center"/>
    </xf>
    <xf numFmtId="166" fontId="8" fillId="0" borderId="0" xfId="1" applyFont="1" applyAlignment="1">
      <alignment horizontal="center"/>
    </xf>
    <xf numFmtId="0" fontId="8" fillId="0" borderId="0" xfId="0" applyFont="1"/>
    <xf numFmtId="166" fontId="8" fillId="0" borderId="0" xfId="1" applyFont="1"/>
    <xf numFmtId="2" fontId="8" fillId="0" borderId="0" xfId="0" applyNumberFormat="1" applyFont="1"/>
    <xf numFmtId="2" fontId="8" fillId="0" borderId="7" xfId="0" applyNumberFormat="1" applyFont="1" applyBorder="1"/>
    <xf numFmtId="166" fontId="7" fillId="0" borderId="0" xfId="1" applyFont="1"/>
    <xf numFmtId="166" fontId="8" fillId="0" borderId="7" xfId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7" xfId="0" applyFont="1" applyBorder="1"/>
    <xf numFmtId="166" fontId="8" fillId="0" borderId="7" xfId="1" applyFont="1" applyBorder="1"/>
    <xf numFmtId="168" fontId="8" fillId="0" borderId="0" xfId="0" applyNumberFormat="1" applyFont="1"/>
    <xf numFmtId="166" fontId="7" fillId="0" borderId="7" xfId="1" applyFont="1" applyBorder="1" applyAlignment="1">
      <alignment horizontal="center"/>
    </xf>
    <xf numFmtId="168" fontId="7" fillId="0" borderId="0" xfId="0" applyNumberFormat="1" applyFont="1"/>
    <xf numFmtId="167" fontId="7" fillId="0" borderId="0" xfId="0" applyNumberFormat="1" applyFont="1"/>
    <xf numFmtId="166" fontId="7" fillId="0" borderId="7" xfId="1" applyFont="1" applyBorder="1"/>
    <xf numFmtId="2" fontId="7" fillId="0" borderId="0" xfId="0" applyNumberFormat="1" applyFont="1"/>
    <xf numFmtId="166" fontId="7" fillId="0" borderId="0" xfId="1" applyFont="1" applyAlignment="1">
      <alignment horizontal="right"/>
    </xf>
    <xf numFmtId="2" fontId="7" fillId="0" borderId="0" xfId="0" applyNumberFormat="1" applyFont="1" applyAlignment="1">
      <alignment horizontal="right"/>
    </xf>
    <xf numFmtId="166" fontId="8" fillId="0" borderId="7" xfId="0" applyNumberFormat="1" applyFont="1" applyBorder="1" applyAlignment="1">
      <alignment horizontal="center"/>
    </xf>
    <xf numFmtId="166" fontId="7" fillId="0" borderId="0" xfId="0" applyNumberFormat="1" applyFont="1"/>
    <xf numFmtId="16" fontId="8" fillId="0" borderId="0" xfId="1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" fontId="8" fillId="0" borderId="0" xfId="0" applyNumberFormat="1" applyFont="1" applyAlignment="1">
      <alignment horizontal="center"/>
    </xf>
    <xf numFmtId="14" fontId="7" fillId="0" borderId="7" xfId="0" applyNumberFormat="1" applyFont="1" applyBorder="1"/>
    <xf numFmtId="0" fontId="7" fillId="0" borderId="5" xfId="0" applyFont="1" applyBorder="1"/>
    <xf numFmtId="0" fontId="7" fillId="0" borderId="8" xfId="0" applyFont="1" applyBorder="1"/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0" fillId="0" borderId="10" xfId="0" applyFont="1" applyBorder="1"/>
    <xf numFmtId="0" fontId="12" fillId="0" borderId="3" xfId="0" applyFont="1" applyBorder="1"/>
    <xf numFmtId="0" fontId="9" fillId="0" borderId="3" xfId="0" applyFont="1" applyBorder="1"/>
    <xf numFmtId="0" fontId="5" fillId="2" borderId="12" xfId="0" applyFont="1" applyFill="1" applyBorder="1"/>
    <xf numFmtId="0" fontId="11" fillId="0" borderId="6" xfId="0" applyFont="1" applyBorder="1"/>
    <xf numFmtId="166" fontId="11" fillId="0" borderId="0" xfId="1" applyFont="1"/>
    <xf numFmtId="166" fontId="4" fillId="0" borderId="0" xfId="1" applyFont="1"/>
    <xf numFmtId="166" fontId="4" fillId="0" borderId="0" xfId="1" applyFont="1" applyAlignment="1">
      <alignment horizontal="center"/>
    </xf>
    <xf numFmtId="166" fontId="15" fillId="0" borderId="0" xfId="1" applyFont="1" applyAlignment="1">
      <alignment horizontal="center"/>
    </xf>
    <xf numFmtId="2" fontId="4" fillId="0" borderId="0" xfId="0" applyNumberFormat="1" applyFont="1"/>
    <xf numFmtId="166" fontId="16" fillId="0" borderId="0" xfId="1" applyFont="1"/>
    <xf numFmtId="168" fontId="4" fillId="0" borderId="0" xfId="0" applyNumberFormat="1" applyFont="1"/>
    <xf numFmtId="167" fontId="4" fillId="0" borderId="0" xfId="0" applyNumberFormat="1" applyFont="1"/>
    <xf numFmtId="168" fontId="4" fillId="0" borderId="0" xfId="1" applyNumberFormat="1" applyFont="1"/>
    <xf numFmtId="167" fontId="4" fillId="0" borderId="0" xfId="1" applyNumberFormat="1" applyFont="1"/>
    <xf numFmtId="168" fontId="4" fillId="0" borderId="0" xfId="1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11" fillId="0" borderId="13" xfId="0" applyFont="1" applyBorder="1"/>
    <xf numFmtId="166" fontId="17" fillId="0" borderId="0" xfId="1" applyFont="1" applyAlignment="1">
      <alignment horizontal="center"/>
    </xf>
    <xf numFmtId="0" fontId="11" fillId="0" borderId="14" xfId="0" applyFont="1" applyBorder="1"/>
    <xf numFmtId="0" fontId="11" fillId="0" borderId="15" xfId="0" applyFont="1" applyBorder="1"/>
    <xf numFmtId="0" fontId="11" fillId="0" borderId="1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164" fontId="11" fillId="0" borderId="0" xfId="0" applyNumberFormat="1" applyFont="1"/>
    <xf numFmtId="0" fontId="11" fillId="0" borderId="1" xfId="0" applyFont="1" applyBorder="1"/>
    <xf numFmtId="164" fontId="11" fillId="0" borderId="2" xfId="0" applyNumberFormat="1" applyFont="1" applyBorder="1"/>
    <xf numFmtId="0" fontId="11" fillId="2" borderId="12" xfId="0" applyFont="1" applyFill="1" applyBorder="1"/>
    <xf numFmtId="164" fontId="11" fillId="0" borderId="19" xfId="0" applyNumberFormat="1" applyFont="1" applyBorder="1"/>
    <xf numFmtId="0" fontId="11" fillId="0" borderId="6" xfId="0" applyFont="1" applyBorder="1" applyAlignment="1">
      <alignment horizontal="center"/>
    </xf>
    <xf numFmtId="166" fontId="18" fillId="0" borderId="0" xfId="1" applyFont="1" applyAlignment="1">
      <alignment horizontal="center"/>
    </xf>
    <xf numFmtId="0" fontId="1" fillId="0" borderId="6" xfId="0" applyFont="1" applyBorder="1"/>
    <xf numFmtId="0" fontId="1" fillId="0" borderId="16" xfId="0" applyFont="1" applyBorder="1"/>
    <xf numFmtId="0" fontId="1" fillId="0" borderId="0" xfId="0" applyFont="1"/>
    <xf numFmtId="0" fontId="18" fillId="0" borderId="0" xfId="0" applyFont="1"/>
    <xf numFmtId="166" fontId="17" fillId="0" borderId="0" xfId="1" applyFont="1"/>
    <xf numFmtId="168" fontId="17" fillId="0" borderId="0" xfId="1" applyNumberFormat="1" applyFont="1" applyAlignment="1">
      <alignment horizontal="center"/>
    </xf>
    <xf numFmtId="164" fontId="17" fillId="0" borderId="0" xfId="1" applyNumberFormat="1" applyFont="1" applyAlignment="1">
      <alignment horizontal="center"/>
    </xf>
    <xf numFmtId="0" fontId="17" fillId="0" borderId="0" xfId="0" applyFont="1"/>
    <xf numFmtId="0" fontId="19" fillId="0" borderId="7" xfId="0" applyFont="1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168" fontId="17" fillId="0" borderId="0" xfId="1" applyNumberFormat="1" applyFont="1"/>
    <xf numFmtId="0" fontId="4" fillId="0" borderId="0" xfId="0" applyFont="1" applyAlignment="1">
      <alignment horizontal="right"/>
    </xf>
    <xf numFmtId="0" fontId="1" fillId="0" borderId="10" xfId="0" applyFont="1" applyBorder="1" applyAlignment="1">
      <alignment horizontal="right"/>
    </xf>
    <xf numFmtId="2" fontId="17" fillId="0" borderId="0" xfId="0" applyNumberFormat="1" applyFont="1" applyAlignment="1">
      <alignment horizontal="center"/>
    </xf>
    <xf numFmtId="164" fontId="0" fillId="0" borderId="0" xfId="0" applyNumberFormat="1"/>
    <xf numFmtId="166" fontId="4" fillId="0" borderId="0" xfId="1" applyFont="1" applyAlignment="1">
      <alignment horizontal="left"/>
    </xf>
    <xf numFmtId="170" fontId="4" fillId="0" borderId="3" xfId="1" applyNumberFormat="1" applyFont="1" applyBorder="1"/>
    <xf numFmtId="170" fontId="13" fillId="0" borderId="3" xfId="1" applyNumberFormat="1" applyFont="1" applyBorder="1"/>
    <xf numFmtId="170" fontId="14" fillId="0" borderId="3" xfId="1" applyNumberFormat="1" applyFont="1" applyBorder="1"/>
    <xf numFmtId="170" fontId="4" fillId="0" borderId="0" xfId="1" applyNumberFormat="1" applyFont="1"/>
    <xf numFmtId="170" fontId="14" fillId="0" borderId="0" xfId="1" applyNumberFormat="1" applyFont="1"/>
    <xf numFmtId="0" fontId="20" fillId="0" borderId="6" xfId="0" applyFont="1" applyBorder="1"/>
    <xf numFmtId="166" fontId="20" fillId="0" borderId="0" xfId="1" applyFont="1"/>
    <xf numFmtId="0" fontId="21" fillId="0" borderId="9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0" xfId="0" applyFont="1" applyBorder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0" fillId="0" borderId="2" xfId="0" applyFont="1" applyBorder="1"/>
    <xf numFmtId="0" fontId="3" fillId="0" borderId="2" xfId="0" applyFont="1" applyBorder="1"/>
    <xf numFmtId="0" fontId="3" fillId="0" borderId="11" xfId="0" applyFont="1" applyBorder="1"/>
    <xf numFmtId="0" fontId="3" fillId="0" borderId="1" xfId="0" applyFont="1" applyBorder="1"/>
    <xf numFmtId="0" fontId="3" fillId="0" borderId="0" xfId="0" applyFont="1"/>
    <xf numFmtId="0" fontId="21" fillId="0" borderId="6" xfId="0" applyFont="1" applyBorder="1"/>
    <xf numFmtId="0" fontId="21" fillId="0" borderId="7" xfId="0" applyFont="1" applyBorder="1"/>
    <xf numFmtId="0" fontId="20" fillId="0" borderId="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7" xfId="0" applyFont="1" applyBorder="1" applyAlignment="1">
      <alignment horizontal="center"/>
    </xf>
    <xf numFmtId="0" fontId="21" fillId="0" borderId="0" xfId="0" applyFont="1" applyAlignment="1">
      <alignment horizontal="right"/>
    </xf>
    <xf numFmtId="166" fontId="21" fillId="0" borderId="0" xfId="0" applyNumberFormat="1" applyFont="1"/>
    <xf numFmtId="0" fontId="23" fillId="0" borderId="0" xfId="0" applyFont="1"/>
    <xf numFmtId="168" fontId="21" fillId="0" borderId="0" xfId="1" applyNumberFormat="1" applyFont="1" applyAlignment="1">
      <alignment horizontal="right"/>
    </xf>
    <xf numFmtId="166" fontId="21" fillId="0" borderId="0" xfId="1" applyFont="1"/>
    <xf numFmtId="0" fontId="21" fillId="0" borderId="7" xfId="1" applyNumberFormat="1" applyFont="1" applyBorder="1" applyAlignment="1">
      <alignment horizontal="left"/>
    </xf>
    <xf numFmtId="166" fontId="21" fillId="0" borderId="0" xfId="1" applyFont="1" applyAlignment="1">
      <alignment horizontal="right"/>
    </xf>
    <xf numFmtId="0" fontId="21" fillId="0" borderId="6" xfId="0" applyFont="1" applyBorder="1" applyAlignment="1">
      <alignment horizontal="right"/>
    </xf>
    <xf numFmtId="168" fontId="21" fillId="0" borderId="0" xfId="1" applyNumberFormat="1" applyFont="1"/>
    <xf numFmtId="0" fontId="21" fillId="0" borderId="7" xfId="1" quotePrefix="1" applyNumberFormat="1" applyFont="1" applyBorder="1" applyAlignment="1">
      <alignment horizontal="left"/>
    </xf>
    <xf numFmtId="0" fontId="21" fillId="0" borderId="6" xfId="1" applyNumberFormat="1" applyFont="1" applyBorder="1" applyAlignment="1">
      <alignment horizontal="right"/>
    </xf>
    <xf numFmtId="0" fontId="21" fillId="0" borderId="0" xfId="1" applyNumberFormat="1" applyFont="1"/>
    <xf numFmtId="166" fontId="20" fillId="0" borderId="6" xfId="1" applyFont="1" applyBorder="1" applyAlignment="1">
      <alignment horizontal="center"/>
    </xf>
    <xf numFmtId="0" fontId="20" fillId="0" borderId="0" xfId="0" applyFont="1" applyAlignment="1">
      <alignment horizontal="right"/>
    </xf>
    <xf numFmtId="2" fontId="20" fillId="0" borderId="0" xfId="0" applyNumberFormat="1" applyFont="1"/>
    <xf numFmtId="166" fontId="20" fillId="0" borderId="6" xfId="1" applyFont="1" applyBorder="1"/>
    <xf numFmtId="0" fontId="21" fillId="0" borderId="0" xfId="0" applyFont="1" applyAlignment="1">
      <alignment horizontal="center"/>
    </xf>
    <xf numFmtId="0" fontId="20" fillId="0" borderId="0" xfId="0" applyFont="1"/>
    <xf numFmtId="168" fontId="21" fillId="0" borderId="0" xfId="0" applyNumberFormat="1" applyFont="1"/>
    <xf numFmtId="166" fontId="21" fillId="0" borderId="6" xfId="1" applyFont="1" applyBorder="1"/>
    <xf numFmtId="168" fontId="20" fillId="0" borderId="0" xfId="1" applyNumberFormat="1" applyFont="1"/>
    <xf numFmtId="2" fontId="21" fillId="0" borderId="0" xfId="0" applyNumberFormat="1" applyFont="1"/>
    <xf numFmtId="2" fontId="21" fillId="0" borderId="7" xfId="0" applyNumberFormat="1" applyFont="1" applyBorder="1"/>
    <xf numFmtId="170" fontId="21" fillId="0" borderId="6" xfId="0" applyNumberFormat="1" applyFont="1" applyBorder="1"/>
    <xf numFmtId="167" fontId="20" fillId="0" borderId="0" xfId="0" applyNumberFormat="1" applyFont="1"/>
    <xf numFmtId="168" fontId="20" fillId="0" borderId="0" xfId="0" applyNumberFormat="1" applyFont="1"/>
    <xf numFmtId="166" fontId="20" fillId="0" borderId="0" xfId="1" applyFont="1" applyAlignment="1">
      <alignment horizontal="right"/>
    </xf>
    <xf numFmtId="166" fontId="20" fillId="0" borderId="7" xfId="1" applyFont="1" applyBorder="1"/>
    <xf numFmtId="167" fontId="21" fillId="0" borderId="0" xfId="0" applyNumberFormat="1" applyFont="1"/>
    <xf numFmtId="2" fontId="20" fillId="0" borderId="7" xfId="0" applyNumberFormat="1" applyFont="1" applyBorder="1"/>
    <xf numFmtId="2" fontId="20" fillId="0" borderId="0" xfId="0" applyNumberFormat="1" applyFont="1" applyAlignment="1">
      <alignment horizontal="right"/>
    </xf>
    <xf numFmtId="0" fontId="20" fillId="0" borderId="7" xfId="0" applyFont="1" applyBorder="1"/>
    <xf numFmtId="166" fontId="20" fillId="0" borderId="0" xfId="1" applyFont="1" applyAlignment="1">
      <alignment horizontal="center"/>
    </xf>
    <xf numFmtId="168" fontId="20" fillId="0" borderId="6" xfId="1" applyNumberFormat="1" applyFont="1" applyBorder="1"/>
    <xf numFmtId="166" fontId="24" fillId="0" borderId="0" xfId="1" applyFont="1"/>
    <xf numFmtId="0" fontId="20" fillId="0" borderId="4" xfId="0" applyFont="1" applyBorder="1"/>
    <xf numFmtId="168" fontId="21" fillId="0" borderId="5" xfId="0" applyNumberFormat="1" applyFont="1" applyBorder="1"/>
    <xf numFmtId="0" fontId="21" fillId="0" borderId="5" xfId="0" applyFont="1" applyBorder="1"/>
    <xf numFmtId="0" fontId="21" fillId="0" borderId="8" xfId="0" applyFont="1" applyBorder="1"/>
    <xf numFmtId="166" fontId="20" fillId="0" borderId="4" xfId="1" applyFont="1" applyBorder="1"/>
    <xf numFmtId="166" fontId="20" fillId="0" borderId="5" xfId="1" applyFont="1" applyBorder="1"/>
    <xf numFmtId="166" fontId="21" fillId="0" borderId="5" xfId="1" applyFont="1" applyBorder="1"/>
    <xf numFmtId="170" fontId="21" fillId="0" borderId="5" xfId="0" applyNumberFormat="1" applyFont="1" applyBorder="1"/>
    <xf numFmtId="0" fontId="9" fillId="0" borderId="15" xfId="0" applyFont="1" applyBorder="1"/>
    <xf numFmtId="9" fontId="0" fillId="0" borderId="0" xfId="0" applyNumberFormat="1"/>
    <xf numFmtId="164" fontId="21" fillId="0" borderId="0" xfId="1" applyNumberFormat="1" applyFont="1"/>
    <xf numFmtId="164" fontId="21" fillId="0" borderId="7" xfId="1" applyNumberFormat="1" applyFont="1" applyBorder="1"/>
    <xf numFmtId="0" fontId="11" fillId="0" borderId="29" xfId="0" applyFont="1" applyBorder="1"/>
    <xf numFmtId="164" fontId="11" fillId="0" borderId="12" xfId="0" applyNumberFormat="1" applyFont="1" applyBorder="1"/>
    <xf numFmtId="164" fontId="21" fillId="0" borderId="7" xfId="0" applyNumberFormat="1" applyFont="1" applyBorder="1"/>
    <xf numFmtId="0" fontId="21" fillId="0" borderId="20" xfId="0" applyFont="1" applyBorder="1"/>
    <xf numFmtId="0" fontId="21" fillId="0" borderId="22" xfId="0" applyFont="1" applyBorder="1"/>
    <xf numFmtId="164" fontId="21" fillId="0" borderId="21" xfId="1" applyNumberFormat="1" applyFont="1" applyBorder="1"/>
    <xf numFmtId="164" fontId="25" fillId="3" borderId="21" xfId="1" applyNumberFormat="1" applyFont="1" applyFill="1" applyBorder="1"/>
    <xf numFmtId="169" fontId="21" fillId="0" borderId="0" xfId="0" applyNumberFormat="1" applyFont="1" applyAlignment="1">
      <alignment horizontal="center"/>
    </xf>
    <xf numFmtId="0" fontId="9" fillId="0" borderId="1" xfId="0" applyFont="1" applyBorder="1"/>
    <xf numFmtId="0" fontId="9" fillId="0" borderId="30" xfId="0" applyFont="1" applyBorder="1" applyAlignment="1">
      <alignment horizontal="center"/>
    </xf>
    <xf numFmtId="0" fontId="9" fillId="0" borderId="11" xfId="0" applyFont="1" applyBorder="1"/>
    <xf numFmtId="0" fontId="9" fillId="0" borderId="12" xfId="0" applyFont="1" applyBorder="1" applyAlignment="1">
      <alignment horizontal="center"/>
    </xf>
    <xf numFmtId="166" fontId="26" fillId="0" borderId="0" xfId="1" applyFont="1" applyAlignment="1">
      <alignment horizontal="center"/>
    </xf>
    <xf numFmtId="166" fontId="1" fillId="0" borderId="0" xfId="0" applyNumberFormat="1" applyFont="1"/>
    <xf numFmtId="0" fontId="1" fillId="0" borderId="7" xfId="0" applyFont="1" applyBorder="1"/>
    <xf numFmtId="166" fontId="18" fillId="0" borderId="0" xfId="1" applyFont="1"/>
    <xf numFmtId="170" fontId="21" fillId="0" borderId="0" xfId="1" applyNumberFormat="1" applyFont="1" applyAlignment="1">
      <alignment horizontal="right"/>
    </xf>
    <xf numFmtId="164" fontId="21" fillId="0" borderId="0" xfId="2" applyNumberFormat="1" applyFont="1"/>
    <xf numFmtId="0" fontId="21" fillId="0" borderId="7" xfId="6" quotePrefix="1" applyNumberFormat="1" applyFont="1" applyBorder="1" applyAlignment="1">
      <alignment horizontal="left"/>
    </xf>
    <xf numFmtId="166" fontId="4" fillId="0" borderId="5" xfId="1" applyFont="1" applyBorder="1"/>
    <xf numFmtId="169" fontId="21" fillId="0" borderId="6" xfId="0" applyNumberFormat="1" applyFont="1" applyBorder="1" applyAlignment="1">
      <alignment horizontal="center"/>
    </xf>
    <xf numFmtId="170" fontId="20" fillId="0" borderId="0" xfId="1" applyNumberFormat="1" applyFont="1" applyAlignment="1">
      <alignment horizontal="right"/>
    </xf>
    <xf numFmtId="168" fontId="20" fillId="0" borderId="0" xfId="1" applyNumberFormat="1" applyFont="1" applyAlignment="1">
      <alignment horizontal="right"/>
    </xf>
    <xf numFmtId="0" fontId="20" fillId="0" borderId="7" xfId="6" quotePrefix="1" applyNumberFormat="1" applyFont="1" applyBorder="1" applyAlignment="1">
      <alignment horizontal="left"/>
    </xf>
    <xf numFmtId="0" fontId="25" fillId="0" borderId="0" xfId="0" applyFont="1"/>
    <xf numFmtId="43" fontId="25" fillId="0" borderId="0" xfId="2" applyFont="1" applyBorder="1"/>
    <xf numFmtId="170" fontId="17" fillId="0" borderId="0" xfId="1" applyNumberFormat="1" applyFont="1"/>
    <xf numFmtId="166" fontId="27" fillId="0" borderId="0" xfId="0" applyNumberFormat="1" applyFont="1"/>
    <xf numFmtId="170" fontId="28" fillId="0" borderId="0" xfId="1" applyNumberFormat="1" applyFont="1"/>
    <xf numFmtId="169" fontId="25" fillId="0" borderId="0" xfId="0" applyNumberFormat="1" applyFont="1" applyAlignment="1">
      <alignment horizontal="center"/>
    </xf>
    <xf numFmtId="0" fontId="19" fillId="0" borderId="0" xfId="0" applyFont="1"/>
    <xf numFmtId="166" fontId="27" fillId="0" borderId="0" xfId="1" applyFont="1" applyAlignment="1">
      <alignment horizontal="center"/>
    </xf>
    <xf numFmtId="169" fontId="29" fillId="0" borderId="0" xfId="0" applyNumberFormat="1" applyFont="1" applyAlignment="1">
      <alignment horizontal="center"/>
    </xf>
    <xf numFmtId="0" fontId="29" fillId="0" borderId="0" xfId="0" applyFont="1"/>
    <xf numFmtId="166" fontId="28" fillId="0" borderId="0" xfId="1" applyFont="1" applyAlignment="1">
      <alignment horizontal="center"/>
    </xf>
    <xf numFmtId="168" fontId="27" fillId="0" borderId="0" xfId="1" applyNumberFormat="1" applyFont="1"/>
    <xf numFmtId="166" fontId="28" fillId="0" borderId="0" xfId="1" applyFont="1"/>
    <xf numFmtId="166" fontId="27" fillId="0" borderId="0" xfId="1" applyFont="1"/>
    <xf numFmtId="0" fontId="20" fillId="0" borderId="7" xfId="1" applyNumberFormat="1" applyFont="1" applyBorder="1" applyAlignment="1">
      <alignment horizontal="left"/>
    </xf>
    <xf numFmtId="169" fontId="20" fillId="0" borderId="0" xfId="0" applyNumberFormat="1" applyFont="1" applyAlignment="1">
      <alignment horizontal="center"/>
    </xf>
    <xf numFmtId="164" fontId="20" fillId="0" borderId="0" xfId="1" applyNumberFormat="1" applyFont="1"/>
    <xf numFmtId="166" fontId="21" fillId="0" borderId="7" xfId="1" applyFont="1" applyBorder="1"/>
    <xf numFmtId="167" fontId="6" fillId="0" borderId="0" xfId="0" applyNumberFormat="1" applyFont="1"/>
    <xf numFmtId="0" fontId="31" fillId="0" borderId="0" xfId="8" applyFont="1"/>
    <xf numFmtId="164" fontId="21" fillId="0" borderId="0" xfId="9" applyNumberFormat="1" applyFont="1"/>
    <xf numFmtId="164" fontId="20" fillId="0" borderId="0" xfId="2" applyNumberFormat="1" applyFont="1"/>
    <xf numFmtId="0" fontId="30" fillId="0" borderId="0" xfId="0" applyFont="1" applyAlignment="1">
      <alignment horizontal="left"/>
    </xf>
    <xf numFmtId="0" fontId="22" fillId="0" borderId="0" xfId="0" applyFont="1"/>
    <xf numFmtId="14" fontId="21" fillId="0" borderId="0" xfId="0" applyNumberFormat="1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/>
    <xf numFmtId="0" fontId="11" fillId="0" borderId="9" xfId="0" applyFont="1" applyBorder="1"/>
    <xf numFmtId="0" fontId="11" fillId="0" borderId="3" xfId="0" applyFont="1" applyBorder="1"/>
    <xf numFmtId="164" fontId="11" fillId="0" borderId="3" xfId="0" applyNumberFormat="1" applyFont="1" applyBorder="1"/>
    <xf numFmtId="2" fontId="11" fillId="0" borderId="3" xfId="0" applyNumberFormat="1" applyFont="1" applyBorder="1"/>
    <xf numFmtId="164" fontId="11" fillId="0" borderId="10" xfId="0" applyNumberFormat="1" applyFont="1" applyBorder="1"/>
    <xf numFmtId="167" fontId="21" fillId="0" borderId="0" xfId="0" applyNumberFormat="1" applyFont="1" applyAlignment="1">
      <alignment horizontal="right"/>
    </xf>
    <xf numFmtId="10" fontId="21" fillId="0" borderId="0" xfId="11" applyNumberFormat="1" applyFont="1" applyBorder="1" applyAlignment="1">
      <alignment horizontal="right"/>
    </xf>
    <xf numFmtId="171" fontId="2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64" fontId="21" fillId="0" borderId="0" xfId="0" applyNumberFormat="1" applyFont="1"/>
    <xf numFmtId="166" fontId="21" fillId="0" borderId="0" xfId="1" applyFont="1" applyBorder="1" applyAlignment="1">
      <alignment horizontal="right"/>
    </xf>
    <xf numFmtId="14" fontId="4" fillId="0" borderId="0" xfId="10" applyNumberFormat="1" applyFont="1"/>
    <xf numFmtId="169" fontId="17" fillId="0" borderId="0" xfId="0" applyNumberFormat="1" applyFont="1" applyAlignment="1">
      <alignment horizontal="center"/>
    </xf>
    <xf numFmtId="0" fontId="21" fillId="0" borderId="4" xfId="0" applyFont="1" applyBorder="1"/>
    <xf numFmtId="164" fontId="21" fillId="0" borderId="5" xfId="0" applyNumberFormat="1" applyFont="1" applyBorder="1"/>
    <xf numFmtId="164" fontId="1" fillId="0" borderId="5" xfId="0" applyNumberFormat="1" applyFont="1" applyBorder="1"/>
    <xf numFmtId="0" fontId="1" fillId="0" borderId="9" xfId="0" applyFont="1" applyBorder="1"/>
    <xf numFmtId="10" fontId="21" fillId="0" borderId="0" xfId="0" applyNumberFormat="1" applyFont="1"/>
    <xf numFmtId="166" fontId="0" fillId="0" borderId="0" xfId="1" applyFont="1" applyBorder="1"/>
    <xf numFmtId="1" fontId="21" fillId="0" borderId="0" xfId="0" applyNumberFormat="1" applyFont="1" applyAlignment="1">
      <alignment horizontal="right"/>
    </xf>
    <xf numFmtId="166" fontId="21" fillId="0" borderId="0" xfId="1" applyFont="1" applyBorder="1"/>
    <xf numFmtId="164" fontId="11" fillId="0" borderId="7" xfId="1" applyNumberFormat="1" applyFont="1" applyBorder="1"/>
    <xf numFmtId="164" fontId="11" fillId="0" borderId="5" xfId="0" applyNumberFormat="1" applyFont="1" applyBorder="1"/>
    <xf numFmtId="164" fontId="11" fillId="0" borderId="8" xfId="0" applyNumberFormat="1" applyFont="1" applyBorder="1"/>
    <xf numFmtId="14" fontId="4" fillId="0" borderId="6" xfId="10" applyNumberFormat="1" applyFont="1" applyBorder="1"/>
    <xf numFmtId="169" fontId="21" fillId="0" borderId="6" xfId="8" applyNumberFormat="1" applyFont="1" applyBorder="1" applyAlignment="1">
      <alignment horizontal="center"/>
    </xf>
    <xf numFmtId="43" fontId="29" fillId="0" borderId="0" xfId="2" applyFont="1" applyBorder="1"/>
    <xf numFmtId="169" fontId="20" fillId="0" borderId="6" xfId="8" applyNumberFormat="1" applyFont="1" applyBorder="1" applyAlignment="1">
      <alignment horizontal="center"/>
    </xf>
    <xf numFmtId="0" fontId="33" fillId="0" borderId="0" xfId="8" applyFont="1"/>
    <xf numFmtId="14" fontId="14" fillId="0" borderId="6" xfId="10" applyNumberFormat="1" applyFont="1" applyBorder="1"/>
    <xf numFmtId="10" fontId="23" fillId="0" borderId="0" xfId="11" applyNumberFormat="1" applyFont="1" applyBorder="1" applyAlignment="1">
      <alignment horizontal="right"/>
    </xf>
    <xf numFmtId="0" fontId="1" fillId="0" borderId="32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169" fontId="1" fillId="0" borderId="22" xfId="0" applyNumberFormat="1" applyFont="1" applyBorder="1" applyAlignment="1">
      <alignment horizontal="left"/>
    </xf>
    <xf numFmtId="169" fontId="1" fillId="0" borderId="23" xfId="0" applyNumberFormat="1" applyFont="1" applyBorder="1" applyAlignment="1">
      <alignment horizontal="left"/>
    </xf>
    <xf numFmtId="169" fontId="11" fillId="0" borderId="31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5" xfId="0" applyFont="1" applyBorder="1" applyAlignment="1">
      <alignment horizontal="left"/>
    </xf>
  </cellXfs>
  <cellStyles count="24">
    <cellStyle name="Comma" xfId="1" builtinId="3"/>
    <cellStyle name="Comma 2" xfId="2" xr:uid="{7E04A20D-3937-4E06-B318-29B298389B0E}"/>
    <cellStyle name="Comma 2 2" xfId="4" xr:uid="{95E7E23F-359F-4221-8C82-537FA6EF61CD}"/>
    <cellStyle name="Comma 2 2 2" xfId="6" xr:uid="{A3875F3F-C05D-4BC7-BB87-5335C3BCBB8C}"/>
    <cellStyle name="Comma 2 2 2 2" xfId="22" xr:uid="{4EF28FD4-388D-4DE2-9C0F-4E3BFE2DB183}"/>
    <cellStyle name="Comma 2 2 2 3" xfId="15" xr:uid="{AF2AB848-B04B-44F2-8ACE-24559365C595}"/>
    <cellStyle name="Comma 2 2 3" xfId="20" xr:uid="{D0DC3404-37C9-4F98-88B1-516B4895888D}"/>
    <cellStyle name="Comma 2 2 4" xfId="13" xr:uid="{38841BC9-0E77-4D23-96C9-B9C231D3A269}"/>
    <cellStyle name="Comma 2 3" xfId="7" xr:uid="{4526DFC2-B9F9-46E1-8D29-FE89FF7570D0}"/>
    <cellStyle name="Comma 2 3 2" xfId="23" xr:uid="{21C5B008-D37C-4A0F-AA99-2216D8DAD96D}"/>
    <cellStyle name="Comma 2 3 3" xfId="16" xr:uid="{4DD9B7A1-350A-498F-BEA5-38D89E97BC49}"/>
    <cellStyle name="Comma 2 4" xfId="5" xr:uid="{EDD13D89-8EC0-46AD-B861-F93A4B114280}"/>
    <cellStyle name="Comma 2 4 2" xfId="21" xr:uid="{9008CA64-63D4-4688-AA3F-7F92AEF85AAA}"/>
    <cellStyle name="Comma 2 4 3" xfId="14" xr:uid="{627FD9EF-BA7A-4CE3-8A46-D4037FB02E13}"/>
    <cellStyle name="Comma 2 5" xfId="19" xr:uid="{8BA79B51-CB01-4598-B75F-9C2D011E3A16}"/>
    <cellStyle name="Comma 2 6" xfId="12" xr:uid="{D74D1260-15E5-4D4F-984A-C76CEDC119BF}"/>
    <cellStyle name="Comma 3" xfId="9" xr:uid="{4F6B2407-CD04-4C93-A7A7-7C023AD7B6D6}"/>
    <cellStyle name="Comma 3 2" xfId="17" xr:uid="{AE451232-7CDB-4225-A1E2-35520242BF2C}"/>
    <cellStyle name="Currency 2" xfId="3" xr:uid="{98178F84-87C7-4AF3-B937-ADFAA217F315}"/>
    <cellStyle name="Normal" xfId="0" builtinId="0"/>
    <cellStyle name="Normal 2" xfId="8" xr:uid="{3747EFFC-A665-46A9-A1E6-607A11484F56}"/>
    <cellStyle name="Normal 3" xfId="10" xr:uid="{3A4BB80F-DE32-4EAC-A8DB-4862A62A8B02}"/>
    <cellStyle name="Percent" xfId="11" builtinId="5"/>
    <cellStyle name="Percent 2" xfId="18" xr:uid="{5DDD7225-5927-45DD-ACE8-06E14D1F506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0"/>
  <sheetViews>
    <sheetView tabSelected="1" zoomScale="114" zoomScaleNormal="115" workbookViewId="0">
      <selection activeCell="H24" sqref="H24"/>
    </sheetView>
  </sheetViews>
  <sheetFormatPr defaultRowHeight="12.75"/>
  <cols>
    <col min="1" max="1" width="42.28515625" customWidth="1"/>
    <col min="2" max="2" width="13.42578125" customWidth="1"/>
    <col min="3" max="4" width="11.42578125" customWidth="1"/>
    <col min="5" max="5" width="21.5703125" customWidth="1"/>
    <col min="6" max="6" width="11" bestFit="1" customWidth="1"/>
    <col min="7" max="7" width="47.140625" bestFit="1" customWidth="1"/>
    <col min="8" max="8" width="17.42578125" style="101" bestFit="1" customWidth="1"/>
    <col min="9" max="9" width="13" customWidth="1"/>
    <col min="10" max="10" width="15.5703125" customWidth="1"/>
    <col min="11" max="11" width="11" bestFit="1" customWidth="1"/>
    <col min="12" max="12" width="10.85546875" customWidth="1"/>
    <col min="13" max="13" width="16" customWidth="1"/>
  </cols>
  <sheetData>
    <row r="1" spans="1:14" ht="13.5" thickBot="1">
      <c r="A1" s="89" t="s">
        <v>16</v>
      </c>
      <c r="B1" s="90"/>
      <c r="C1" s="90"/>
      <c r="D1" s="90"/>
      <c r="E1" s="90"/>
      <c r="F1" s="90"/>
      <c r="G1" s="90"/>
      <c r="H1" s="98"/>
      <c r="I1" s="90"/>
      <c r="J1" s="90"/>
      <c r="K1" s="90"/>
      <c r="L1" s="90"/>
      <c r="M1" s="91"/>
    </row>
    <row r="2" spans="1:14" ht="13.5" customHeight="1" thickBot="1">
      <c r="A2" s="1"/>
      <c r="B2" s="2"/>
      <c r="C2" s="258" t="s">
        <v>29</v>
      </c>
      <c r="D2" s="258"/>
      <c r="E2" s="258"/>
      <c r="F2" s="259"/>
      <c r="G2" s="259"/>
      <c r="H2" s="99"/>
      <c r="I2" s="6"/>
      <c r="J2" s="6"/>
      <c r="K2" s="6"/>
      <c r="L2" s="49" t="s">
        <v>33</v>
      </c>
      <c r="M2" s="48"/>
    </row>
    <row r="3" spans="1:14" ht="16.5" thickBot="1">
      <c r="A3" s="51" t="s">
        <v>51</v>
      </c>
      <c r="B3" s="7"/>
      <c r="C3" s="7"/>
      <c r="D3" s="7"/>
      <c r="E3" s="7"/>
      <c r="F3" s="14"/>
      <c r="G3" s="15"/>
      <c r="H3" s="100" t="s">
        <v>18</v>
      </c>
      <c r="I3" s="15"/>
      <c r="J3" s="15"/>
      <c r="K3" s="15"/>
      <c r="L3" s="50" t="s">
        <v>34</v>
      </c>
      <c r="M3" s="94"/>
    </row>
    <row r="4" spans="1:14" ht="16.5" thickBot="1">
      <c r="A4" s="67" t="s">
        <v>0</v>
      </c>
      <c r="B4" s="65"/>
      <c r="C4" s="260" t="s">
        <v>49</v>
      </c>
      <c r="D4" s="261"/>
      <c r="E4" s="262"/>
      <c r="F4" s="46" t="s">
        <v>14</v>
      </c>
      <c r="G4" s="46" t="s">
        <v>12</v>
      </c>
      <c r="H4" s="46" t="s">
        <v>19</v>
      </c>
      <c r="I4" s="46" t="s">
        <v>20</v>
      </c>
      <c r="J4" s="46" t="s">
        <v>21</v>
      </c>
      <c r="K4" s="46" t="s">
        <v>22</v>
      </c>
      <c r="L4" s="46" t="s">
        <v>13</v>
      </c>
      <c r="M4" s="47" t="s">
        <v>23</v>
      </c>
    </row>
    <row r="5" spans="1:14" ht="15">
      <c r="A5" s="68" t="s">
        <v>1</v>
      </c>
      <c r="B5" s="81" t="s">
        <v>16</v>
      </c>
      <c r="C5" s="263" t="s">
        <v>48</v>
      </c>
      <c r="D5" s="264"/>
      <c r="E5" s="265"/>
      <c r="F5" s="16"/>
      <c r="G5" s="16"/>
      <c r="I5" s="16"/>
      <c r="J5" s="16"/>
      <c r="K5" s="16"/>
      <c r="L5" s="16"/>
      <c r="M5" s="17"/>
    </row>
    <row r="6" spans="1:14" ht="15.75">
      <c r="A6" s="165" t="s">
        <v>50</v>
      </c>
      <c r="B6" s="69"/>
      <c r="C6" s="255">
        <v>46178</v>
      </c>
      <c r="D6" s="256"/>
      <c r="E6" s="257"/>
      <c r="F6" s="208">
        <v>46192</v>
      </c>
      <c r="G6" s="139" t="s">
        <v>53</v>
      </c>
      <c r="H6" s="209">
        <f>19.23*12517.86</f>
        <v>240718.44780000002</v>
      </c>
      <c r="I6" s="5"/>
      <c r="J6" s="54"/>
      <c r="K6" s="5"/>
      <c r="L6" s="5"/>
      <c r="M6" s="17"/>
    </row>
    <row r="7" spans="1:14" ht="16.5" thickBot="1">
      <c r="A7" s="70" t="s">
        <v>36</v>
      </c>
      <c r="B7" s="71"/>
      <c r="C7" s="252" t="s">
        <v>44</v>
      </c>
      <c r="D7" s="253"/>
      <c r="E7" s="254"/>
      <c r="F7" s="176"/>
      <c r="G7" s="139"/>
      <c r="H7" s="167"/>
      <c r="I7" s="83"/>
      <c r="J7" s="184"/>
      <c r="K7" s="84"/>
      <c r="L7" s="83"/>
      <c r="M7" s="17"/>
      <c r="N7" s="4"/>
    </row>
    <row r="8" spans="1:14" ht="16.5" thickBot="1">
      <c r="A8" s="177" t="s">
        <v>2</v>
      </c>
      <c r="B8" s="178" t="s">
        <v>3</v>
      </c>
      <c r="C8" s="180" t="s">
        <v>37</v>
      </c>
      <c r="D8" s="180" t="s">
        <v>38</v>
      </c>
      <c r="E8" s="179" t="s">
        <v>39</v>
      </c>
      <c r="F8" s="246"/>
      <c r="G8" s="139"/>
      <c r="H8" s="167"/>
      <c r="I8" s="209"/>
      <c r="J8" s="54"/>
      <c r="K8" s="66"/>
      <c r="L8" s="95"/>
      <c r="M8" s="17"/>
    </row>
    <row r="9" spans="1:14" ht="15">
      <c r="A9" s="237"/>
      <c r="B9" s="222"/>
      <c r="C9" s="222"/>
      <c r="D9" s="222"/>
      <c r="E9" s="91"/>
      <c r="F9" s="245"/>
      <c r="G9" s="212"/>
      <c r="H9" s="167"/>
      <c r="I9" s="85"/>
      <c r="J9" s="66"/>
      <c r="K9" s="86"/>
      <c r="L9" s="87"/>
      <c r="M9" s="88"/>
    </row>
    <row r="10" spans="1:14" ht="15">
      <c r="A10" s="117" t="str">
        <f>C5</f>
        <v>COPPER SCRAP MILLBERRY</v>
      </c>
      <c r="B10" s="226">
        <v>100</v>
      </c>
      <c r="C10" s="238">
        <v>0.98</v>
      </c>
      <c r="D10" s="239">
        <f>12977*C10</f>
        <v>12717.46</v>
      </c>
      <c r="E10" s="210">
        <f>B10*D10</f>
        <v>1271746</v>
      </c>
      <c r="F10" s="176"/>
      <c r="G10" s="109"/>
      <c r="H10" s="167"/>
      <c r="I10" s="167"/>
      <c r="J10" s="66"/>
      <c r="K10" s="86"/>
      <c r="L10" s="84"/>
      <c r="M10" s="88"/>
    </row>
    <row r="11" spans="1:14" ht="15">
      <c r="A11" s="117"/>
      <c r="B11" s="228"/>
      <c r="C11" s="238"/>
      <c r="D11" s="143"/>
      <c r="E11" s="210"/>
      <c r="F11" s="176"/>
      <c r="G11" s="109"/>
      <c r="H11" s="167"/>
      <c r="I11" s="66"/>
      <c r="J11" s="66"/>
      <c r="K11" s="86"/>
      <c r="L11" s="84"/>
      <c r="M11" s="88"/>
    </row>
    <row r="12" spans="1:14" ht="15">
      <c r="A12" s="117"/>
      <c r="B12" s="228"/>
      <c r="C12" s="238"/>
      <c r="D12" s="143"/>
      <c r="E12" s="210"/>
      <c r="F12" s="176"/>
      <c r="G12" s="109"/>
      <c r="H12" s="167"/>
      <c r="I12" s="213"/>
      <c r="J12" s="66"/>
      <c r="K12" s="86"/>
      <c r="L12" s="84"/>
      <c r="M12" s="88"/>
    </row>
    <row r="13" spans="1:14" ht="15">
      <c r="A13" s="117"/>
      <c r="B13" s="228"/>
      <c r="C13" s="238"/>
      <c r="D13" s="143"/>
      <c r="E13" s="210"/>
      <c r="F13" s="232"/>
      <c r="G13" s="212"/>
      <c r="H13" s="213"/>
      <c r="I13" s="211"/>
      <c r="J13" s="66"/>
      <c r="K13" s="86"/>
      <c r="L13" s="84"/>
      <c r="M13" s="88"/>
    </row>
    <row r="14" spans="1:14" ht="15">
      <c r="A14" s="117"/>
      <c r="B14" s="228"/>
      <c r="C14" s="238"/>
      <c r="D14" s="143"/>
      <c r="E14" s="210"/>
      <c r="F14" s="246"/>
      <c r="G14" s="212"/>
      <c r="H14" s="167"/>
      <c r="I14" s="85"/>
      <c r="J14" s="79"/>
      <c r="K14" s="79"/>
      <c r="L14" s="83"/>
      <c r="M14" s="17"/>
    </row>
    <row r="15" spans="1:14" ht="15">
      <c r="A15" s="117" t="s">
        <v>42</v>
      </c>
      <c r="B15" s="122"/>
      <c r="C15" s="109"/>
      <c r="D15" s="229"/>
      <c r="E15" s="118"/>
      <c r="F15" s="245"/>
      <c r="G15" s="212"/>
      <c r="H15" s="167"/>
      <c r="I15" s="85"/>
      <c r="J15" s="79"/>
      <c r="K15" s="79"/>
      <c r="L15" s="83"/>
      <c r="M15" s="17"/>
    </row>
    <row r="16" spans="1:14" ht="15">
      <c r="A16" s="117" t="s">
        <v>43</v>
      </c>
      <c r="B16" s="122"/>
      <c r="C16" s="109"/>
      <c r="D16" s="229"/>
      <c r="E16" s="144"/>
      <c r="F16" s="176"/>
      <c r="G16" s="109"/>
      <c r="H16" s="167"/>
      <c r="I16" s="85"/>
      <c r="J16" s="79"/>
      <c r="K16" s="79"/>
      <c r="L16" s="83"/>
      <c r="M16" s="17"/>
    </row>
    <row r="17" spans="1:15" ht="15.75">
      <c r="A17" s="117" t="s">
        <v>40</v>
      </c>
      <c r="B17" s="122"/>
      <c r="C17" s="109"/>
      <c r="D17" s="229"/>
      <c r="E17" s="118"/>
      <c r="F17" s="176"/>
      <c r="G17" s="109"/>
      <c r="H17" s="167"/>
      <c r="I17" s="92"/>
      <c r="J17" s="54"/>
      <c r="K17" s="55"/>
      <c r="L17" s="97"/>
      <c r="M17" s="23"/>
    </row>
    <row r="18" spans="1:15" ht="15.75">
      <c r="A18" s="117" t="s">
        <v>15</v>
      </c>
      <c r="B18" s="109"/>
      <c r="C18" s="229"/>
      <c r="D18" s="229"/>
      <c r="E18" s="118"/>
      <c r="F18" s="176"/>
      <c r="G18" s="109"/>
      <c r="H18" s="167"/>
      <c r="I18" s="54"/>
      <c r="J18" s="54"/>
      <c r="K18" s="55"/>
      <c r="L18" s="57"/>
      <c r="M18" s="25"/>
    </row>
    <row r="19" spans="1:15" ht="15.75">
      <c r="A19" s="117" t="s">
        <v>35</v>
      </c>
      <c r="B19" s="240"/>
      <c r="C19" s="229"/>
      <c r="D19" s="229"/>
      <c r="E19" s="168"/>
      <c r="F19" s="176"/>
      <c r="G19" s="109"/>
      <c r="H19" s="167"/>
      <c r="I19" s="213"/>
      <c r="J19" s="54"/>
      <c r="K19" s="56"/>
      <c r="L19" s="57"/>
      <c r="M19" s="26"/>
    </row>
    <row r="20" spans="1:15" ht="15.75">
      <c r="A20" s="117" t="s">
        <v>6</v>
      </c>
      <c r="B20" s="109"/>
      <c r="C20" s="229"/>
      <c r="D20" s="229"/>
      <c r="E20" s="168"/>
      <c r="F20" s="232"/>
      <c r="G20" s="212"/>
      <c r="H20" s="213"/>
      <c r="I20" s="211"/>
      <c r="J20" s="54"/>
      <c r="K20" s="55"/>
      <c r="L20" s="55"/>
      <c r="M20" s="28"/>
    </row>
    <row r="21" spans="1:15" ht="15.75">
      <c r="A21" s="117" t="s">
        <v>31</v>
      </c>
      <c r="B21" s="109"/>
      <c r="C21" s="230"/>
      <c r="D21" s="230"/>
      <c r="E21" s="168"/>
      <c r="F21" s="176"/>
      <c r="G21" s="109"/>
      <c r="H21" s="167"/>
      <c r="I21" s="61"/>
      <c r="J21" s="54"/>
      <c r="K21" s="54"/>
      <c r="L21" s="93"/>
      <c r="M21" s="29"/>
    </row>
    <row r="22" spans="1:15" ht="15.75">
      <c r="A22" s="117" t="s">
        <v>7</v>
      </c>
      <c r="B22" s="109"/>
      <c r="C22" s="230"/>
      <c r="D22" s="230"/>
      <c r="E22" s="168">
        <f>E44*110*0.0003%</f>
        <v>426.09979499999997</v>
      </c>
      <c r="F22" s="198"/>
      <c r="G22" s="212"/>
      <c r="H22" s="213"/>
      <c r="I22" s="63"/>
      <c r="J22" s="54"/>
      <c r="K22" s="58"/>
      <c r="L22" s="93"/>
      <c r="M22" s="25"/>
    </row>
    <row r="23" spans="1:15" ht="15">
      <c r="A23" s="117" t="s">
        <v>8</v>
      </c>
      <c r="B23" s="109"/>
      <c r="C23" s="230"/>
      <c r="D23" s="230"/>
      <c r="E23" s="168"/>
      <c r="F23" s="176"/>
      <c r="G23" s="109"/>
      <c r="H23" s="194"/>
      <c r="I23" s="59"/>
      <c r="J23" s="64"/>
      <c r="K23" s="54"/>
      <c r="L23" s="57"/>
      <c r="M23" s="31"/>
      <c r="O23" s="166"/>
    </row>
    <row r="24" spans="1:15" ht="15.75">
      <c r="A24" s="117" t="s">
        <v>9</v>
      </c>
      <c r="B24" s="241">
        <v>100</v>
      </c>
      <c r="C24" s="230"/>
      <c r="D24" s="230">
        <v>25</v>
      </c>
      <c r="E24" s="168">
        <f>B24*D24</f>
        <v>2500</v>
      </c>
      <c r="F24" s="208"/>
      <c r="G24" s="139"/>
      <c r="H24" s="209"/>
      <c r="I24" s="59"/>
      <c r="J24" s="60"/>
      <c r="K24" s="54"/>
      <c r="L24" s="5"/>
      <c r="M24" s="34"/>
    </row>
    <row r="25" spans="1:15" ht="15.75">
      <c r="A25" s="117" t="s">
        <v>17</v>
      </c>
      <c r="B25" s="109">
        <v>1</v>
      </c>
      <c r="C25" s="230"/>
      <c r="D25" s="230">
        <v>0</v>
      </c>
      <c r="E25" s="168">
        <f>B25*D25</f>
        <v>0</v>
      </c>
      <c r="F25" s="248"/>
      <c r="G25" s="249"/>
      <c r="H25" s="209"/>
      <c r="I25" s="61"/>
      <c r="J25" s="62"/>
      <c r="K25" s="54"/>
      <c r="L25" s="54"/>
      <c r="M25" s="23"/>
    </row>
    <row r="26" spans="1:15" ht="15.75">
      <c r="A26" s="117" t="s">
        <v>41</v>
      </c>
      <c r="B26" s="109">
        <v>750</v>
      </c>
      <c r="C26" s="230"/>
      <c r="D26" s="230"/>
      <c r="E26" s="168">
        <f>((E10*5.5%)/360)*35+100</f>
        <v>6900.308472222222</v>
      </c>
      <c r="F26" s="250"/>
      <c r="G26" s="249"/>
      <c r="H26" s="209"/>
      <c r="I26" s="61"/>
      <c r="J26" s="62"/>
      <c r="K26" s="54"/>
      <c r="L26" s="54"/>
      <c r="M26" s="23"/>
    </row>
    <row r="27" spans="1:15" ht="15.75">
      <c r="A27" s="52" t="s">
        <v>32</v>
      </c>
      <c r="B27" s="72"/>
      <c r="C27" s="73"/>
      <c r="D27" s="73"/>
      <c r="E27" s="242"/>
      <c r="F27" s="233"/>
      <c r="G27" s="249"/>
      <c r="H27" s="247"/>
      <c r="I27" s="33"/>
      <c r="J27" s="36"/>
      <c r="K27" s="53"/>
      <c r="L27" s="24"/>
      <c r="M27" s="17"/>
    </row>
    <row r="28" spans="1:15" ht="15.75">
      <c r="A28" s="52"/>
      <c r="B28" s="72"/>
      <c r="C28" s="73"/>
      <c r="D28" s="73"/>
      <c r="E28" s="242"/>
      <c r="F28" s="208"/>
      <c r="G28" s="249"/>
      <c r="H28" s="209"/>
      <c r="I28" s="32"/>
      <c r="J28" s="37"/>
      <c r="K28" s="35"/>
      <c r="L28" s="24"/>
      <c r="M28" s="38"/>
    </row>
    <row r="29" spans="1:15" ht="16.5" thickBot="1">
      <c r="A29" s="70"/>
      <c r="B29" s="71"/>
      <c r="C29" s="243"/>
      <c r="D29" s="243"/>
      <c r="E29" s="244"/>
      <c r="F29" s="199"/>
      <c r="G29" s="196"/>
      <c r="H29" s="197"/>
      <c r="I29" s="30"/>
      <c r="J29" s="16"/>
      <c r="K29" s="21"/>
      <c r="L29" s="24"/>
      <c r="M29" s="17"/>
    </row>
    <row r="30" spans="1:15" ht="16.5" thickBot="1">
      <c r="A30" s="52"/>
      <c r="B30" s="234" t="s">
        <v>10</v>
      </c>
      <c r="C30" s="235"/>
      <c r="D30" s="236">
        <f>E30/52</f>
        <v>24645.623235908119</v>
      </c>
      <c r="E30" s="163">
        <f>+E10+E11+E15-E19+E22+E24+E26</f>
        <v>1281572.4082672221</v>
      </c>
      <c r="F30" s="208"/>
      <c r="G30" s="139"/>
      <c r="H30" s="214"/>
      <c r="I30" s="16"/>
      <c r="J30" s="16"/>
      <c r="K30" s="16"/>
      <c r="L30" s="39"/>
      <c r="M30" s="17"/>
    </row>
    <row r="31" spans="1:15" ht="15.75" thickBot="1">
      <c r="A31" s="76"/>
      <c r="B31" s="72"/>
      <c r="C31" s="73"/>
      <c r="D31" s="73"/>
      <c r="E31" s="73"/>
      <c r="H31" s="195"/>
      <c r="I31" s="16"/>
      <c r="J31" s="16"/>
      <c r="K31" s="16"/>
      <c r="L31" s="16"/>
      <c r="M31" s="17"/>
    </row>
    <row r="32" spans="1:15" ht="16.5" thickBot="1">
      <c r="A32" s="74" t="s">
        <v>11</v>
      </c>
      <c r="B32" s="169" t="s">
        <v>3</v>
      </c>
      <c r="C32" s="77" t="s">
        <v>4</v>
      </c>
      <c r="D32" s="75"/>
      <c r="E32" s="170" t="s">
        <v>5</v>
      </c>
      <c r="F32" s="189"/>
      <c r="G32" s="109"/>
      <c r="H32" s="186"/>
      <c r="I32" s="20"/>
      <c r="J32" s="20"/>
      <c r="K32" s="20"/>
      <c r="L32" s="20"/>
      <c r="M32" s="28"/>
    </row>
    <row r="33" spans="1:13" ht="15.75">
      <c r="A33" s="221" t="s">
        <v>16</v>
      </c>
      <c r="B33" s="222"/>
      <c r="C33" s="223"/>
      <c r="D33" s="224"/>
      <c r="E33" s="225"/>
      <c r="F33" s="199"/>
      <c r="G33" s="200"/>
      <c r="H33" s="195"/>
      <c r="I33" s="16"/>
      <c r="J33" s="16"/>
      <c r="K33" s="16"/>
      <c r="L33" s="16"/>
      <c r="M33" s="17"/>
    </row>
    <row r="34" spans="1:13" ht="15.75">
      <c r="A34" s="80" t="s">
        <v>52</v>
      </c>
      <c r="B34" s="231">
        <v>100</v>
      </c>
      <c r="C34" s="251">
        <v>0.995</v>
      </c>
      <c r="D34" s="239">
        <f>12977*C34</f>
        <v>12912.115</v>
      </c>
      <c r="E34" s="168">
        <f>B34*D34</f>
        <v>1291211.5</v>
      </c>
      <c r="F34" s="176"/>
      <c r="G34" s="109"/>
      <c r="H34" s="167"/>
      <c r="I34" s="19"/>
      <c r="J34" s="19"/>
      <c r="K34" s="40"/>
      <c r="L34" s="16"/>
      <c r="M34" s="17"/>
    </row>
    <row r="35" spans="1:13" ht="15.75">
      <c r="A35" s="52"/>
      <c r="B35" s="109"/>
      <c r="C35" s="229"/>
      <c r="D35" s="229"/>
      <c r="E35" s="171"/>
      <c r="F35" s="218"/>
      <c r="G35" s="193"/>
      <c r="H35" s="203"/>
      <c r="I35" s="41"/>
      <c r="J35" s="18"/>
      <c r="K35" s="42"/>
      <c r="L35" s="16"/>
      <c r="M35" s="17"/>
    </row>
    <row r="36" spans="1:13" ht="15.75">
      <c r="A36" s="80"/>
      <c r="B36" s="231"/>
      <c r="C36" s="227"/>
      <c r="D36" s="143"/>
      <c r="E36" s="168"/>
      <c r="F36" s="176"/>
      <c r="G36" s="109"/>
      <c r="H36" s="167"/>
      <c r="I36" s="21"/>
      <c r="J36" s="18"/>
      <c r="K36" s="42"/>
      <c r="L36" s="16"/>
      <c r="M36" s="17"/>
    </row>
    <row r="37" spans="1:13" ht="15.75">
      <c r="A37" s="52"/>
      <c r="B37" s="109"/>
      <c r="C37" s="229"/>
      <c r="D37" s="229"/>
      <c r="E37" s="171"/>
      <c r="F37" s="218"/>
      <c r="G37" s="204"/>
      <c r="H37" s="197"/>
      <c r="I37" s="21"/>
      <c r="J37" s="27"/>
      <c r="K37" s="42"/>
      <c r="L37" s="16"/>
      <c r="M37" s="43"/>
    </row>
    <row r="38" spans="1:13" ht="15.75">
      <c r="A38" s="78"/>
      <c r="B38" s="109"/>
      <c r="C38" s="229"/>
      <c r="D38" s="229"/>
      <c r="E38" s="171"/>
      <c r="F38" s="208"/>
      <c r="G38" s="139"/>
      <c r="H38" s="209"/>
      <c r="I38" s="21"/>
      <c r="J38" s="20"/>
      <c r="K38" s="20"/>
      <c r="L38" s="16"/>
      <c r="M38" s="17"/>
    </row>
    <row r="39" spans="1:13" ht="15.75">
      <c r="A39" s="52"/>
      <c r="B39" s="109"/>
      <c r="C39" s="230"/>
      <c r="D39" s="230"/>
      <c r="E39" s="171"/>
      <c r="F39" s="219"/>
      <c r="G39" s="193"/>
      <c r="H39" s="205"/>
      <c r="I39" s="21"/>
      <c r="J39" s="22"/>
      <c r="K39" s="20"/>
      <c r="L39" s="16"/>
      <c r="M39" s="17"/>
    </row>
    <row r="40" spans="1:13" ht="15.75">
      <c r="A40" s="52"/>
      <c r="B40" s="109"/>
      <c r="C40" s="143"/>
      <c r="D40" s="143"/>
      <c r="E40" s="144"/>
      <c r="F40" s="220"/>
      <c r="G40" s="204"/>
      <c r="H40" s="205"/>
      <c r="I40" s="21"/>
      <c r="J40" s="22"/>
      <c r="K40" s="20"/>
      <c r="L40" s="16"/>
      <c r="M40" s="17"/>
    </row>
    <row r="41" spans="1:13" ht="15.75">
      <c r="A41" s="52"/>
      <c r="B41" s="109"/>
      <c r="C41" s="109"/>
      <c r="D41" s="109"/>
      <c r="E41" s="144"/>
      <c r="F41" s="201"/>
      <c r="G41" s="202"/>
      <c r="H41" s="197"/>
      <c r="I41" s="24"/>
      <c r="J41" s="16"/>
      <c r="K41" s="16"/>
      <c r="L41" s="16"/>
      <c r="M41" s="17"/>
    </row>
    <row r="42" spans="1:13" ht="15.75">
      <c r="A42" s="10"/>
      <c r="B42" s="109"/>
      <c r="C42" s="109"/>
      <c r="D42" s="109"/>
      <c r="E42" s="144"/>
      <c r="F42" s="199"/>
      <c r="G42" s="206"/>
      <c r="H42" s="197"/>
      <c r="I42" s="21"/>
      <c r="J42" s="16"/>
      <c r="K42" s="16"/>
      <c r="L42" s="16"/>
      <c r="M42" s="17"/>
    </row>
    <row r="43" spans="1:13" ht="15.75">
      <c r="A43" s="10"/>
      <c r="B43" s="109"/>
      <c r="C43" s="109"/>
      <c r="D43" s="109"/>
      <c r="E43" s="144"/>
      <c r="F43" s="199"/>
      <c r="G43" s="206"/>
      <c r="H43" s="197"/>
      <c r="I43" s="24"/>
      <c r="J43" s="16"/>
      <c r="K43" s="16"/>
      <c r="L43" s="16"/>
      <c r="M43" s="17"/>
    </row>
    <row r="44" spans="1:13" ht="15.75">
      <c r="A44" s="11"/>
      <c r="B44" s="109"/>
      <c r="C44" s="172"/>
      <c r="D44" s="173"/>
      <c r="E44" s="174">
        <f>SUM(E33:E43)</f>
        <v>1291211.5</v>
      </c>
      <c r="F44" s="199"/>
      <c r="G44" s="206"/>
      <c r="H44" s="197"/>
      <c r="I44" s="24"/>
      <c r="J44" s="16"/>
      <c r="K44" s="16"/>
      <c r="L44" s="16"/>
      <c r="M44" s="17"/>
    </row>
    <row r="45" spans="1:13" ht="15.75">
      <c r="A45" s="11"/>
      <c r="B45" s="109"/>
      <c r="C45" s="109"/>
      <c r="D45" s="109"/>
      <c r="E45" s="168"/>
      <c r="F45" s="219"/>
      <c r="G45" s="204"/>
      <c r="H45" s="197"/>
      <c r="I45" s="21"/>
      <c r="J45" s="16"/>
      <c r="K45" s="16"/>
      <c r="L45" s="16"/>
      <c r="M45" s="17"/>
    </row>
    <row r="46" spans="1:13" ht="15.75">
      <c r="A46" s="11"/>
      <c r="B46" s="109"/>
      <c r="C46" s="172"/>
      <c r="D46" s="173"/>
      <c r="E46" s="175">
        <f>E44-E30</f>
        <v>9639.091732777888</v>
      </c>
      <c r="F46" s="16"/>
      <c r="G46" s="21"/>
      <c r="H46" s="102"/>
      <c r="I46" s="16"/>
      <c r="J46" s="16"/>
      <c r="K46" s="16"/>
      <c r="L46" s="16"/>
      <c r="M46" s="17"/>
    </row>
    <row r="47" spans="1:13" ht="15">
      <c r="A47" s="11"/>
      <c r="B47" s="7"/>
      <c r="C47" s="7"/>
      <c r="D47" s="7"/>
      <c r="E47" s="12"/>
      <c r="F47" s="16"/>
      <c r="G47" s="16"/>
      <c r="H47" s="102"/>
      <c r="I47" s="16"/>
      <c r="J47" s="16"/>
      <c r="K47" s="16"/>
      <c r="L47" s="16"/>
      <c r="M47" s="17"/>
    </row>
    <row r="48" spans="1:13" ht="15.75" thickBot="1">
      <c r="A48" s="8"/>
      <c r="B48" s="9"/>
      <c r="C48" s="9"/>
      <c r="D48" s="9"/>
      <c r="E48" s="13"/>
      <c r="F48" s="44"/>
      <c r="G48" s="44"/>
      <c r="H48" s="188">
        <f>SUM(H6:H47)</f>
        <v>240718.44780000002</v>
      </c>
      <c r="I48" s="44"/>
      <c r="J48" s="44"/>
      <c r="K48" s="44"/>
      <c r="L48" s="44"/>
      <c r="M48" s="45"/>
    </row>
    <row r="49" spans="5:11">
      <c r="F49" s="3"/>
      <c r="H49" s="101">
        <f>+Sheet2!D61-Sheet1!H48</f>
        <v>117794.89619999996</v>
      </c>
      <c r="I49" s="3"/>
      <c r="J49" s="3"/>
      <c r="K49" s="3"/>
    </row>
    <row r="50" spans="5:11">
      <c r="E50">
        <f>E46/E30%</f>
        <v>0.75213009195560254</v>
      </c>
    </row>
    <row r="51" spans="5:11">
      <c r="E51" s="96">
        <f>E46/50</f>
        <v>192.78183465555776</v>
      </c>
    </row>
    <row r="76" spans="6:6">
      <c r="F76">
        <v>211389</v>
      </c>
    </row>
    <row r="77" spans="6:6">
      <c r="F77">
        <v>211118</v>
      </c>
    </row>
    <row r="78" spans="6:6">
      <c r="F78">
        <v>31873.1</v>
      </c>
    </row>
    <row r="79" spans="6:6">
      <c r="F79">
        <v>31848.3</v>
      </c>
    </row>
    <row r="80" spans="6:6">
      <c r="F80">
        <f>SUM(F76:F79)</f>
        <v>486228.39999999997</v>
      </c>
    </row>
  </sheetData>
  <mergeCells count="5">
    <mergeCell ref="C7:E7"/>
    <mergeCell ref="C6:E6"/>
    <mergeCell ref="C2:G2"/>
    <mergeCell ref="C4:E4"/>
    <mergeCell ref="C5:E5"/>
  </mergeCells>
  <phoneticPr fontId="2" type="noConversion"/>
  <printOptions gridLines="1"/>
  <pageMargins left="0.75" right="0.75" top="1" bottom="1" header="0.5" footer="0.5"/>
  <pageSetup scale="5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7"/>
  <sheetViews>
    <sheetView workbookViewId="0">
      <selection activeCell="M12" sqref="M12"/>
    </sheetView>
  </sheetViews>
  <sheetFormatPr defaultRowHeight="14.25"/>
  <cols>
    <col min="1" max="1" width="10" style="109" customWidth="1"/>
    <col min="2" max="2" width="13.42578125" style="109" customWidth="1"/>
    <col min="3" max="3" width="12.140625" style="109" customWidth="1"/>
    <col min="4" max="4" width="17" style="109" bestFit="1" customWidth="1"/>
    <col min="5" max="5" width="23.42578125" style="109" customWidth="1"/>
    <col min="6" max="6" width="15.140625" style="109" customWidth="1"/>
    <col min="7" max="7" width="14.28515625" style="109" customWidth="1"/>
    <col min="8" max="8" width="12.140625" style="109" customWidth="1"/>
    <col min="9" max="9" width="15.5703125" style="109" bestFit="1" customWidth="1"/>
    <col min="10" max="10" width="32.28515625" style="109" customWidth="1"/>
    <col min="11" max="11" width="9.140625" style="109"/>
    <col min="12" max="12" width="18" style="109" customWidth="1"/>
    <col min="13" max="13" width="15" style="109" bestFit="1" customWidth="1"/>
    <col min="14" max="16384" width="9.140625" style="109"/>
  </cols>
  <sheetData>
    <row r="1" spans="1:13" ht="15.75" thickBot="1">
      <c r="A1" s="105"/>
      <c r="B1" s="106"/>
      <c r="C1" s="106"/>
      <c r="D1" s="106"/>
      <c r="E1" s="107" t="str">
        <f>Sheet1!A3</f>
        <v>Purchase No. 642</v>
      </c>
      <c r="F1" s="105"/>
      <c r="G1" s="106"/>
      <c r="H1" s="106"/>
      <c r="I1" s="106"/>
      <c r="J1" s="108"/>
    </row>
    <row r="2" spans="1:13" ht="15" customHeight="1" thickBot="1">
      <c r="A2" s="110"/>
      <c r="B2" s="111"/>
      <c r="C2" s="112" t="s">
        <v>2</v>
      </c>
      <c r="D2" s="113"/>
      <c r="E2" s="114"/>
      <c r="F2" s="115"/>
      <c r="G2" s="113"/>
      <c r="H2" s="113" t="s">
        <v>24</v>
      </c>
      <c r="I2" s="113"/>
      <c r="J2" s="114"/>
      <c r="K2" s="116"/>
      <c r="L2" s="116"/>
    </row>
    <row r="3" spans="1:13">
      <c r="A3" s="117"/>
      <c r="E3" s="118"/>
      <c r="F3" s="105"/>
      <c r="G3" s="106"/>
      <c r="H3" s="106"/>
      <c r="I3" s="106"/>
      <c r="J3" s="108"/>
    </row>
    <row r="4" spans="1:13" ht="15">
      <c r="A4" s="119" t="s">
        <v>25</v>
      </c>
      <c r="B4" s="120" t="s">
        <v>26</v>
      </c>
      <c r="C4" s="120" t="s">
        <v>27</v>
      </c>
      <c r="D4" s="120" t="s">
        <v>45</v>
      </c>
      <c r="E4" s="121" t="s">
        <v>28</v>
      </c>
      <c r="F4" s="119" t="s">
        <v>25</v>
      </c>
      <c r="G4" s="120" t="s">
        <v>26</v>
      </c>
      <c r="H4" s="120" t="s">
        <v>27</v>
      </c>
      <c r="I4" s="120" t="s">
        <v>5</v>
      </c>
      <c r="J4" s="121" t="s">
        <v>30</v>
      </c>
    </row>
    <row r="5" spans="1:13">
      <c r="A5" s="117"/>
      <c r="E5" s="118"/>
      <c r="F5" s="117"/>
      <c r="J5" s="118"/>
    </row>
    <row r="6" spans="1:13" ht="15">
      <c r="A6" s="185">
        <v>1</v>
      </c>
      <c r="B6" s="125">
        <v>19.39</v>
      </c>
      <c r="C6" s="126">
        <v>8976</v>
      </c>
      <c r="D6" s="126">
        <f>B6*C6</f>
        <v>174044.64</v>
      </c>
      <c r="E6" s="187" t="s">
        <v>47</v>
      </c>
      <c r="F6" s="134"/>
      <c r="G6" s="122"/>
      <c r="H6" s="122"/>
      <c r="I6" s="123"/>
      <c r="J6" s="118"/>
      <c r="K6" s="136"/>
      <c r="L6" s="109" t="s">
        <v>46</v>
      </c>
    </row>
    <row r="7" spans="1:13" ht="15">
      <c r="A7" s="185"/>
      <c r="B7" s="125"/>
      <c r="C7" s="126"/>
      <c r="D7" s="126">
        <f>B6*9244.8-D6</f>
        <v>5212.0319999999774</v>
      </c>
      <c r="E7" s="187"/>
      <c r="F7" s="134"/>
      <c r="G7" s="122"/>
      <c r="H7" s="122"/>
      <c r="I7" s="123"/>
      <c r="J7" s="118"/>
      <c r="K7" s="136"/>
    </row>
    <row r="8" spans="1:13" ht="15">
      <c r="A8" s="185"/>
      <c r="B8" s="125"/>
      <c r="C8" s="126"/>
      <c r="D8" s="126">
        <f>SUM(D6:D7)</f>
        <v>179256.67199999999</v>
      </c>
      <c r="E8" s="187"/>
      <c r="F8" s="134"/>
      <c r="G8" s="122"/>
      <c r="H8" s="122"/>
      <c r="I8" s="123"/>
      <c r="J8" s="118"/>
      <c r="K8" s="136"/>
    </row>
    <row r="9" spans="1:13" ht="15">
      <c r="A9" s="185"/>
      <c r="B9" s="125"/>
      <c r="C9" s="126"/>
      <c r="D9" s="126"/>
      <c r="E9" s="187"/>
      <c r="F9" s="134"/>
      <c r="G9" s="122"/>
      <c r="H9" s="122"/>
      <c r="I9" s="123"/>
      <c r="J9" s="118"/>
      <c r="K9" s="136"/>
      <c r="M9" s="82"/>
    </row>
    <row r="10" spans="1:13" ht="15">
      <c r="A10" s="185"/>
      <c r="B10" s="125"/>
      <c r="C10" s="126"/>
      <c r="D10" s="126"/>
      <c r="E10" s="187"/>
      <c r="F10" s="134"/>
      <c r="G10" s="122"/>
      <c r="H10" s="122"/>
      <c r="I10" s="123"/>
      <c r="J10" s="118"/>
      <c r="K10" s="136"/>
      <c r="M10" s="82"/>
    </row>
    <row r="11" spans="1:13" ht="15">
      <c r="A11" s="185"/>
      <c r="B11" s="125"/>
      <c r="C11" s="126"/>
      <c r="D11" s="126"/>
      <c r="E11" s="187"/>
      <c r="F11" s="134"/>
      <c r="G11" s="122"/>
      <c r="H11" s="122"/>
      <c r="I11" s="123"/>
      <c r="J11" s="118"/>
      <c r="K11" s="136"/>
      <c r="M11" s="82"/>
    </row>
    <row r="12" spans="1:13" ht="15">
      <c r="A12" s="185"/>
      <c r="B12" s="125"/>
      <c r="C12" s="126"/>
      <c r="D12" s="126"/>
      <c r="E12" s="187"/>
      <c r="F12" s="134"/>
      <c r="G12" s="122"/>
      <c r="H12" s="122"/>
      <c r="I12" s="123"/>
      <c r="J12" s="118"/>
      <c r="K12" s="136"/>
      <c r="M12" s="82"/>
    </row>
    <row r="13" spans="1:13" ht="15">
      <c r="A13" s="185"/>
      <c r="B13" s="125"/>
      <c r="C13" s="126"/>
      <c r="D13" s="126"/>
      <c r="E13" s="187"/>
      <c r="F13" s="134"/>
      <c r="G13" s="122"/>
      <c r="H13" s="122"/>
      <c r="I13" s="123"/>
      <c r="J13" s="118"/>
      <c r="K13" s="136"/>
      <c r="L13" s="215"/>
      <c r="M13" s="82"/>
    </row>
    <row r="14" spans="1:13" ht="15">
      <c r="A14" s="185"/>
      <c r="B14" s="125"/>
      <c r="C14" s="126"/>
      <c r="D14" s="126"/>
      <c r="E14" s="187"/>
      <c r="F14" s="134"/>
      <c r="G14" s="122"/>
      <c r="H14" s="122"/>
      <c r="I14" s="123"/>
      <c r="J14" s="118"/>
      <c r="K14" s="136"/>
      <c r="M14" s="82"/>
    </row>
    <row r="15" spans="1:13" ht="15">
      <c r="A15" s="185"/>
      <c r="B15" s="125"/>
      <c r="C15" s="126"/>
      <c r="D15" s="126"/>
      <c r="E15" s="187"/>
      <c r="F15" s="134"/>
      <c r="G15" s="122"/>
      <c r="H15" s="122"/>
      <c r="I15" s="123"/>
      <c r="J15" s="118"/>
      <c r="K15" s="136"/>
      <c r="M15" s="82"/>
    </row>
    <row r="16" spans="1:13" ht="15">
      <c r="A16" s="185"/>
      <c r="B16" s="125"/>
      <c r="C16" s="126"/>
      <c r="D16" s="126"/>
      <c r="E16" s="187"/>
      <c r="F16" s="134"/>
      <c r="G16" s="122"/>
      <c r="H16" s="122"/>
      <c r="I16" s="123"/>
      <c r="J16" s="118"/>
      <c r="K16" s="136"/>
      <c r="M16" s="82"/>
    </row>
    <row r="17" spans="1:13" ht="15">
      <c r="A17" s="185"/>
      <c r="B17" s="125"/>
      <c r="C17" s="126"/>
      <c r="D17" s="126"/>
      <c r="E17" s="187"/>
      <c r="F17" s="134"/>
      <c r="G17" s="122"/>
      <c r="H17" s="122"/>
      <c r="I17" s="123"/>
      <c r="J17" s="118"/>
      <c r="K17" s="136"/>
      <c r="M17" s="82"/>
    </row>
    <row r="18" spans="1:13" ht="15">
      <c r="A18" s="185"/>
      <c r="B18" s="125"/>
      <c r="C18" s="126"/>
      <c r="D18" s="126"/>
      <c r="E18" s="187"/>
      <c r="F18" s="134"/>
      <c r="G18" s="122"/>
      <c r="H18" s="122"/>
      <c r="I18" s="123"/>
      <c r="J18" s="118"/>
      <c r="K18" s="136"/>
      <c r="M18" s="82"/>
    </row>
    <row r="19" spans="1:13" ht="15">
      <c r="A19" s="185"/>
      <c r="B19" s="125"/>
      <c r="C19" s="126"/>
      <c r="D19" s="126"/>
      <c r="E19" s="187"/>
      <c r="F19" s="134"/>
      <c r="G19" s="122"/>
      <c r="H19" s="122"/>
      <c r="I19" s="123"/>
      <c r="J19" s="118"/>
      <c r="K19" s="136"/>
      <c r="M19" s="82"/>
    </row>
    <row r="20" spans="1:13" ht="15">
      <c r="A20" s="185"/>
      <c r="B20" s="125"/>
      <c r="C20" s="126"/>
      <c r="D20" s="126"/>
      <c r="E20" s="187"/>
      <c r="F20" s="117"/>
      <c r="G20" s="122"/>
      <c r="H20" s="181"/>
      <c r="I20" s="182"/>
      <c r="J20" s="183"/>
      <c r="K20" s="124"/>
      <c r="L20" s="216"/>
      <c r="M20" s="82"/>
    </row>
    <row r="21" spans="1:13" ht="15">
      <c r="A21" s="185"/>
      <c r="B21" s="125"/>
      <c r="C21" s="126"/>
      <c r="D21" s="126"/>
      <c r="E21" s="187"/>
      <c r="F21" s="117"/>
      <c r="G21" s="122"/>
      <c r="H21" s="181"/>
      <c r="I21" s="182"/>
      <c r="J21" s="183"/>
      <c r="K21" s="124"/>
      <c r="L21" s="216"/>
      <c r="M21" s="82"/>
    </row>
    <row r="22" spans="1:13" ht="15">
      <c r="A22" s="185"/>
      <c r="B22" s="125"/>
      <c r="C22" s="126"/>
      <c r="D22" s="126"/>
      <c r="E22" s="187"/>
      <c r="F22" s="117"/>
      <c r="G22" s="122"/>
      <c r="H22" s="181"/>
      <c r="I22" s="182"/>
      <c r="J22" s="183"/>
      <c r="K22" s="124"/>
      <c r="L22" s="216"/>
      <c r="M22" s="82"/>
    </row>
    <row r="23" spans="1:13" ht="15">
      <c r="A23" s="185"/>
      <c r="B23" s="125"/>
      <c r="C23" s="126"/>
      <c r="D23" s="126"/>
      <c r="E23" s="187"/>
      <c r="F23" s="117"/>
      <c r="G23" s="122"/>
      <c r="H23" s="181"/>
      <c r="I23" s="182"/>
      <c r="J23" s="183"/>
      <c r="K23" s="124"/>
      <c r="L23" s="216"/>
      <c r="M23" s="82"/>
    </row>
    <row r="24" spans="1:13" ht="15">
      <c r="A24" s="185"/>
      <c r="B24" s="125"/>
      <c r="C24" s="126"/>
      <c r="D24" s="126"/>
      <c r="E24" s="187"/>
      <c r="F24" s="117"/>
      <c r="G24" s="122"/>
      <c r="H24" s="181"/>
      <c r="I24" s="182"/>
      <c r="J24" s="183"/>
      <c r="K24" s="124"/>
      <c r="L24" s="216"/>
      <c r="M24" s="82"/>
    </row>
    <row r="25" spans="1:13" ht="15">
      <c r="A25" s="190"/>
      <c r="B25" s="191"/>
      <c r="C25" s="104"/>
      <c r="D25" s="126"/>
      <c r="E25" s="192"/>
      <c r="F25" s="117"/>
      <c r="G25" s="122"/>
      <c r="H25" s="126"/>
      <c r="I25" s="182"/>
      <c r="J25" s="183"/>
    </row>
    <row r="26" spans="1:13" ht="15">
      <c r="A26" s="190"/>
      <c r="B26" s="191"/>
      <c r="C26" s="104"/>
      <c r="D26" s="126"/>
      <c r="E26" s="187"/>
      <c r="F26" s="117"/>
      <c r="G26" s="122"/>
      <c r="H26" s="126"/>
      <c r="I26" s="182"/>
      <c r="J26" s="183"/>
    </row>
    <row r="27" spans="1:13" ht="15">
      <c r="A27" s="103"/>
      <c r="B27" s="191"/>
      <c r="C27" s="104"/>
      <c r="D27" s="104"/>
      <c r="E27" s="192"/>
      <c r="F27" s="117"/>
      <c r="G27" s="122"/>
      <c r="H27" s="181"/>
      <c r="I27" s="182"/>
      <c r="J27" s="183"/>
      <c r="K27" s="124"/>
      <c r="L27" s="216"/>
      <c r="M27" s="82"/>
    </row>
    <row r="28" spans="1:13">
      <c r="A28" s="185"/>
      <c r="B28" s="125"/>
      <c r="C28" s="126"/>
      <c r="D28" s="126"/>
      <c r="E28" s="187"/>
      <c r="F28" s="129"/>
      <c r="G28" s="122"/>
      <c r="H28" s="122"/>
      <c r="I28" s="123"/>
      <c r="J28" s="118"/>
      <c r="M28" s="150"/>
    </row>
    <row r="29" spans="1:13">
      <c r="A29" s="185"/>
      <c r="B29" s="125"/>
      <c r="C29" s="126"/>
      <c r="D29" s="126"/>
      <c r="E29" s="187"/>
      <c r="F29" s="129"/>
      <c r="G29" s="122"/>
      <c r="H29" s="122"/>
      <c r="I29" s="123"/>
      <c r="J29" s="118"/>
      <c r="M29" s="150"/>
    </row>
    <row r="30" spans="1:13">
      <c r="A30" s="117"/>
      <c r="B30" s="125"/>
      <c r="C30" s="126"/>
      <c r="D30" s="126"/>
      <c r="E30" s="131"/>
      <c r="F30" s="132"/>
      <c r="G30" s="133"/>
      <c r="H30" s="128"/>
      <c r="I30" s="123"/>
      <c r="J30" s="118"/>
    </row>
    <row r="31" spans="1:13" ht="15">
      <c r="A31" s="185"/>
      <c r="B31" s="125"/>
      <c r="C31" s="126"/>
      <c r="D31" s="126"/>
      <c r="E31" s="187"/>
      <c r="F31" s="134"/>
      <c r="G31" s="135"/>
      <c r="H31" s="122"/>
      <c r="I31" s="123"/>
      <c r="J31" s="118"/>
      <c r="K31" s="136"/>
    </row>
    <row r="32" spans="1:13" ht="15">
      <c r="A32" s="185"/>
      <c r="B32" s="125"/>
      <c r="C32" s="126"/>
      <c r="D32" s="126"/>
      <c r="E32" s="187"/>
      <c r="F32" s="134"/>
      <c r="G32" s="135"/>
      <c r="H32" s="122"/>
      <c r="I32" s="123"/>
      <c r="J32" s="118"/>
      <c r="K32" s="136"/>
    </row>
    <row r="33" spans="1:12" ht="15">
      <c r="A33" s="117"/>
      <c r="B33" s="125"/>
      <c r="C33" s="126"/>
      <c r="D33" s="126"/>
      <c r="E33" s="187"/>
      <c r="F33" s="134"/>
      <c r="G33" s="122"/>
      <c r="H33" s="122"/>
      <c r="I33" s="123"/>
      <c r="J33" s="118"/>
      <c r="K33" s="136"/>
    </row>
    <row r="34" spans="1:12" ht="15">
      <c r="A34" s="185"/>
      <c r="B34" s="125"/>
      <c r="C34" s="126"/>
      <c r="D34" s="126"/>
      <c r="E34" s="187"/>
      <c r="F34" s="137"/>
      <c r="G34" s="138"/>
      <c r="H34" s="122"/>
      <c r="I34" s="123"/>
      <c r="J34" s="118"/>
      <c r="K34" s="136"/>
    </row>
    <row r="35" spans="1:12" ht="15">
      <c r="A35" s="117"/>
      <c r="B35" s="125"/>
      <c r="C35" s="128"/>
      <c r="D35" s="126"/>
      <c r="E35" s="127"/>
      <c r="F35" s="137"/>
      <c r="G35" s="122"/>
      <c r="H35" s="122"/>
      <c r="J35" s="118"/>
      <c r="K35" s="139"/>
    </row>
    <row r="36" spans="1:12" ht="15">
      <c r="A36" s="190"/>
      <c r="B36" s="191"/>
      <c r="C36" s="104"/>
      <c r="D36" s="104"/>
      <c r="E36" s="192"/>
      <c r="F36" s="137"/>
      <c r="G36" s="138"/>
      <c r="H36" s="138"/>
      <c r="J36" s="118"/>
      <c r="K36" s="136"/>
    </row>
    <row r="37" spans="1:12" ht="15">
      <c r="A37" s="103"/>
      <c r="B37" s="147"/>
      <c r="C37" s="104"/>
      <c r="D37" s="104"/>
      <c r="E37" s="207"/>
      <c r="F37" s="141"/>
      <c r="G37" s="139"/>
      <c r="H37" s="142"/>
      <c r="J37" s="118"/>
      <c r="K37" s="136"/>
    </row>
    <row r="38" spans="1:12" ht="15">
      <c r="A38" s="103"/>
      <c r="B38" s="147"/>
      <c r="C38" s="136"/>
      <c r="D38" s="136"/>
      <c r="E38" s="192"/>
      <c r="F38" s="145"/>
      <c r="G38" s="140"/>
      <c r="H38" s="146"/>
      <c r="J38" s="118"/>
      <c r="K38" s="139"/>
    </row>
    <row r="39" spans="1:12" ht="15">
      <c r="A39" s="117"/>
      <c r="C39" s="143"/>
      <c r="D39" s="143"/>
      <c r="E39" s="144"/>
      <c r="F39" s="141"/>
      <c r="G39" s="139"/>
      <c r="H39" s="147"/>
      <c r="I39" s="148"/>
      <c r="J39" s="149"/>
      <c r="K39" s="139"/>
      <c r="L39" s="120"/>
    </row>
    <row r="40" spans="1:12" ht="15">
      <c r="A40" s="117"/>
      <c r="C40" s="143"/>
      <c r="D40" s="143"/>
      <c r="E40" s="144"/>
      <c r="F40" s="141"/>
      <c r="G40" s="123"/>
      <c r="H40" s="140"/>
      <c r="I40" s="128"/>
      <c r="J40" s="149"/>
      <c r="K40" s="139"/>
      <c r="L40" s="120"/>
    </row>
    <row r="41" spans="1:12" ht="15">
      <c r="A41" s="117"/>
      <c r="B41" s="150"/>
      <c r="C41" s="143"/>
      <c r="D41" s="143"/>
      <c r="E41" s="118"/>
      <c r="F41" s="141"/>
      <c r="H41" s="140"/>
      <c r="I41" s="126"/>
      <c r="J41" s="149"/>
    </row>
    <row r="42" spans="1:12" ht="15">
      <c r="A42" s="103"/>
      <c r="B42" s="150"/>
      <c r="D42" s="143"/>
      <c r="E42" s="118"/>
      <c r="F42" s="137"/>
      <c r="H42" s="130"/>
      <c r="I42" s="126" t="s">
        <v>16</v>
      </c>
      <c r="J42" s="151"/>
      <c r="K42" s="136"/>
    </row>
    <row r="43" spans="1:12" ht="15">
      <c r="A43" s="103"/>
      <c r="D43" s="143"/>
      <c r="E43" s="118"/>
      <c r="F43" s="141"/>
      <c r="H43" s="150"/>
      <c r="I43" s="128"/>
      <c r="J43" s="151"/>
      <c r="K43" s="139"/>
    </row>
    <row r="44" spans="1:12" ht="15">
      <c r="A44" s="103"/>
      <c r="D44" s="143"/>
      <c r="E44" s="118"/>
      <c r="F44" s="117"/>
      <c r="G44" s="139"/>
      <c r="H44" s="147"/>
      <c r="I44" s="152"/>
      <c r="J44" s="151"/>
      <c r="K44" s="139"/>
      <c r="L44" s="120"/>
    </row>
    <row r="45" spans="1:12" ht="15">
      <c r="A45" s="117"/>
      <c r="E45" s="118"/>
      <c r="F45" s="117"/>
      <c r="H45" s="140"/>
      <c r="J45" s="149"/>
    </row>
    <row r="46" spans="1:12" ht="15">
      <c r="A46" s="117"/>
      <c r="B46" s="139"/>
      <c r="C46" s="139"/>
      <c r="D46" s="104"/>
      <c r="E46" s="118"/>
      <c r="F46" s="117"/>
      <c r="J46" s="118"/>
    </row>
    <row r="47" spans="1:12" ht="15">
      <c r="C47" s="139"/>
      <c r="E47" s="118"/>
      <c r="F47" s="117"/>
      <c r="I47" s="123" t="s">
        <v>16</v>
      </c>
      <c r="J47" s="118"/>
    </row>
    <row r="48" spans="1:12" ht="15">
      <c r="A48" s="103"/>
      <c r="B48" s="139"/>
      <c r="C48" s="139"/>
      <c r="D48" s="139"/>
      <c r="E48" s="153"/>
      <c r="F48" s="103"/>
      <c r="G48" s="139"/>
      <c r="H48" s="139"/>
      <c r="I48" s="139"/>
      <c r="J48" s="153"/>
      <c r="K48" s="139"/>
      <c r="L48" s="139"/>
    </row>
    <row r="49" spans="1:12" ht="15">
      <c r="A49" s="117"/>
      <c r="B49" s="139"/>
      <c r="C49" s="139"/>
      <c r="D49" s="139"/>
      <c r="E49" s="118"/>
      <c r="F49" s="117"/>
      <c r="J49" s="118"/>
    </row>
    <row r="50" spans="1:12" ht="15">
      <c r="A50" s="103"/>
      <c r="B50" s="146"/>
      <c r="C50" s="136"/>
      <c r="D50" s="104"/>
      <c r="E50" s="118"/>
      <c r="F50" s="137"/>
      <c r="G50" s="104"/>
      <c r="H50" s="104"/>
      <c r="I50" s="104"/>
      <c r="J50" s="149"/>
    </row>
    <row r="51" spans="1:12" ht="15">
      <c r="A51" s="103"/>
      <c r="B51" s="139"/>
      <c r="C51" s="136"/>
      <c r="D51" s="136"/>
      <c r="E51" s="121"/>
      <c r="F51" s="134"/>
      <c r="G51" s="154"/>
      <c r="H51" s="120"/>
      <c r="J51" s="118"/>
    </row>
    <row r="52" spans="1:12" ht="15">
      <c r="A52" s="117"/>
      <c r="C52" s="152"/>
      <c r="D52" s="136"/>
      <c r="E52" s="118"/>
      <c r="F52" s="137"/>
      <c r="G52" s="104"/>
      <c r="H52" s="104"/>
      <c r="I52" s="104"/>
      <c r="J52" s="149"/>
    </row>
    <row r="53" spans="1:12" ht="15">
      <c r="A53" s="117"/>
      <c r="C53" s="152"/>
      <c r="D53" s="136"/>
      <c r="E53" s="121"/>
      <c r="F53" s="134"/>
      <c r="G53" s="154"/>
      <c r="H53" s="120"/>
      <c r="J53" s="118"/>
    </row>
    <row r="54" spans="1:12" ht="15">
      <c r="A54" s="117"/>
      <c r="C54" s="152"/>
      <c r="D54" s="136"/>
      <c r="E54" s="153"/>
      <c r="F54" s="155"/>
      <c r="G54" s="104"/>
      <c r="H54" s="104"/>
      <c r="I54" s="136"/>
      <c r="J54" s="153"/>
      <c r="L54" s="217"/>
    </row>
    <row r="55" spans="1:12" ht="15">
      <c r="A55" s="117"/>
      <c r="C55" s="152"/>
      <c r="D55" s="136"/>
      <c r="E55" s="153"/>
      <c r="F55" s="155"/>
      <c r="G55" s="104"/>
      <c r="H55" s="104"/>
      <c r="I55" s="136"/>
      <c r="J55" s="153"/>
    </row>
    <row r="56" spans="1:12" ht="15">
      <c r="A56" s="117"/>
      <c r="C56" s="143"/>
      <c r="D56" s="136"/>
      <c r="E56" s="153"/>
      <c r="F56" s="155"/>
      <c r="G56" s="104"/>
      <c r="H56" s="104"/>
      <c r="I56" s="136"/>
      <c r="J56" s="153"/>
    </row>
    <row r="57" spans="1:12" ht="19.5">
      <c r="A57" s="117"/>
      <c r="C57" s="143"/>
      <c r="D57" s="136"/>
      <c r="E57" s="153"/>
      <c r="F57" s="155"/>
      <c r="G57" s="104"/>
      <c r="H57" s="156"/>
      <c r="I57" s="139"/>
      <c r="J57" s="153"/>
    </row>
    <row r="58" spans="1:12" ht="15">
      <c r="A58" s="117"/>
      <c r="C58" s="143"/>
      <c r="D58" s="136"/>
      <c r="E58" s="153"/>
      <c r="F58" s="155"/>
      <c r="G58" s="104"/>
      <c r="H58" s="104"/>
      <c r="I58" s="136"/>
      <c r="J58" s="153"/>
    </row>
    <row r="59" spans="1:12" ht="15">
      <c r="A59" s="117"/>
      <c r="C59" s="143"/>
      <c r="D59" s="136"/>
      <c r="E59" s="153"/>
      <c r="F59" s="155"/>
      <c r="G59" s="104"/>
      <c r="H59" s="104"/>
      <c r="I59" s="136"/>
      <c r="J59" s="153"/>
    </row>
    <row r="60" spans="1:12" ht="15">
      <c r="A60" s="117"/>
      <c r="C60" s="143"/>
      <c r="D60" s="136"/>
      <c r="E60" s="153"/>
      <c r="F60" s="155"/>
      <c r="G60" s="123"/>
      <c r="H60" s="104"/>
      <c r="I60" s="136"/>
      <c r="J60" s="153"/>
    </row>
    <row r="61" spans="1:12" ht="15.75" thickBot="1">
      <c r="A61" s="157"/>
      <c r="B61" s="158">
        <f>SUM(B6:B60)</f>
        <v>19.39</v>
      </c>
      <c r="C61" s="159"/>
      <c r="D61" s="164">
        <f>SUM(D6:D60)</f>
        <v>358513.34399999998</v>
      </c>
      <c r="E61" s="160"/>
      <c r="F61" s="161"/>
      <c r="G61" s="162"/>
      <c r="H61" s="163"/>
      <c r="I61" s="159"/>
      <c r="J61" s="160"/>
    </row>
    <row r="62" spans="1:12" ht="15">
      <c r="A62" s="139"/>
      <c r="D62" s="143"/>
      <c r="F62" s="104"/>
      <c r="G62" s="104"/>
      <c r="H62" s="104"/>
    </row>
    <row r="63" spans="1:12" ht="15">
      <c r="A63" s="139"/>
      <c r="D63" s="143"/>
      <c r="F63" s="104"/>
      <c r="G63" s="104"/>
    </row>
    <row r="64" spans="1:12" ht="15">
      <c r="C64" s="139"/>
      <c r="D64" s="104"/>
      <c r="F64" s="104"/>
      <c r="G64" s="104"/>
    </row>
    <row r="65" spans="3:7" ht="15">
      <c r="C65" s="139"/>
      <c r="D65" s="104"/>
      <c r="E65" s="135"/>
      <c r="F65" s="104"/>
      <c r="G65" s="104"/>
    </row>
    <row r="66" spans="3:7" ht="15">
      <c r="C66" s="139"/>
      <c r="D66" s="104"/>
      <c r="F66" s="104"/>
      <c r="G66" s="104"/>
    </row>
    <row r="67" spans="3:7" ht="15">
      <c r="F67" s="104"/>
      <c r="G67" s="104"/>
    </row>
  </sheetData>
  <phoneticPr fontId="2" type="noConversion"/>
  <conditionalFormatting sqref="L13">
    <cfRule type="duplicateValues" dxfId="0" priority="1"/>
  </conditionalFormatting>
  <printOptions gridLines="1"/>
  <pageMargins left="0.75" right="0.75" top="1" bottom="1" header="0.5" footer="0.5"/>
  <pageSetup scale="6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I12:J15"/>
  <sheetViews>
    <sheetView workbookViewId="0">
      <selection activeCell="L24" sqref="L24"/>
    </sheetView>
  </sheetViews>
  <sheetFormatPr defaultRowHeight="12.75"/>
  <sheetData>
    <row r="12" spans="9:10">
      <c r="I12">
        <v>9238</v>
      </c>
      <c r="J12" s="166">
        <v>0.96</v>
      </c>
    </row>
    <row r="13" spans="9:10">
      <c r="I13">
        <f>(I12*J13)/J12</f>
        <v>9622.9166666666679</v>
      </c>
      <c r="J13" s="166">
        <v>1</v>
      </c>
    </row>
    <row r="15" spans="9:10">
      <c r="I15">
        <f>9623*96%</f>
        <v>9238.08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236087-65ed-483b-bc2e-bcd81ed1c674">
      <Terms xmlns="http://schemas.microsoft.com/office/infopath/2007/PartnerControls"/>
    </lcf76f155ced4ddcb4097134ff3c332f>
    <TaxCatchAll xmlns="af35e420-057a-4a43-8006-e258a9d406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265DB6014284459052466B91802E8E" ma:contentTypeVersion="14" ma:contentTypeDescription="Create a new document." ma:contentTypeScope="" ma:versionID="3de7b4c8f8c16a09eccad86dfa201fe8">
  <xsd:schema xmlns:xsd="http://www.w3.org/2001/XMLSchema" xmlns:xs="http://www.w3.org/2001/XMLSchema" xmlns:p="http://schemas.microsoft.com/office/2006/metadata/properties" xmlns:ns2="b2236087-65ed-483b-bc2e-bcd81ed1c674" xmlns:ns3="af35e420-057a-4a43-8006-e258a9d40665" targetNamespace="http://schemas.microsoft.com/office/2006/metadata/properties" ma:root="true" ma:fieldsID="2d0b34f201d6cc82adc7ae6fd8a4194d" ns2:_="" ns3:_="">
    <xsd:import namespace="b2236087-65ed-483b-bc2e-bcd81ed1c674"/>
    <xsd:import namespace="af35e420-057a-4a43-8006-e258a9d406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236087-65ed-483b-bc2e-bcd81ed1c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d1b0626-704e-44b8-830b-07c234c2db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5e420-057a-4a43-8006-e258a9d406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1ce875c-fdc6-4924-a792-0db83b005d7c}" ma:internalName="TaxCatchAll" ma:showField="CatchAllData" ma:web="af35e420-057a-4a43-8006-e258a9d406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66C8AB-1DB6-4216-881E-6B6C868CC048}">
  <ds:schemaRefs>
    <ds:schemaRef ds:uri="http://schemas.microsoft.com/office/2006/metadata/properties"/>
    <ds:schemaRef ds:uri="http://schemas.microsoft.com/office/infopath/2007/PartnerControls"/>
    <ds:schemaRef ds:uri="b2236087-65ed-483b-bc2e-bcd81ed1c674"/>
    <ds:schemaRef ds:uri="af35e420-057a-4a43-8006-e258a9d40665"/>
  </ds:schemaRefs>
</ds:datastoreItem>
</file>

<file path=customXml/itemProps2.xml><?xml version="1.0" encoding="utf-8"?>
<ds:datastoreItem xmlns:ds="http://schemas.openxmlformats.org/officeDocument/2006/customXml" ds:itemID="{BB2D9771-073D-49E7-8D6F-1BDDD48E23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1E9398-E75E-4A99-A224-58BA8B8071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236087-65ed-483b-bc2e-bcd81ed1c674"/>
    <ds:schemaRef ds:uri="af35e420-057a-4a43-8006-e258a9d406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Adani Global</dc:creator>
  <cp:lastModifiedBy>Karan Desai</cp:lastModifiedBy>
  <cp:lastPrinted>2025-06-09T06:35:37Z</cp:lastPrinted>
  <dcterms:created xsi:type="dcterms:W3CDTF">2006-10-04T06:25:01Z</dcterms:created>
  <dcterms:modified xsi:type="dcterms:W3CDTF">2026-06-19T09:39:58Z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0x0101009D265DB6014284459052466B91802E8E</vt:lpwstr>
  </property>
  <property fmtid="{D5CDD505-2E9C-101B-9397-08002B2CF9AE}" pid="3" name="MediaServiceImageTags">
    <vt:lpwstr/>
  </property>
</Properties>
</file>